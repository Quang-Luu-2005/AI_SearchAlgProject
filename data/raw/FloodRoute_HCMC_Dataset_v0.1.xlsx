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ea25b4129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a509d305def46c5"/>
    <x:sheet xmlns:r="http://schemas.openxmlformats.org/officeDocument/2006/relationships" name="Assumptions" sheetId="2" r:id="R826c962e17e949a4"/>
    <x:sheet xmlns:r="http://schemas.openxmlformats.org/officeDocument/2006/relationships" name="Flood Hotspots" sheetId="3" r:id="R8f610bdc209a42fe"/>
    <x:sheet xmlns:r="http://schemas.openxmlformats.org/officeDocument/2006/relationships" name="Traffic Scenarios" sheetId="4" r:id="R762ff3fa493b4775"/>
    <x:sheet xmlns:r="http://schemas.openxmlformats.org/officeDocument/2006/relationships" name="Cost Weights" sheetId="5" r:id="Re5a984393ade4cfa"/>
    <x:sheet xmlns:r="http://schemas.openxmlformats.org/officeDocument/2006/relationships" name="Road Nodes" sheetId="6" r:id="Rfcccf8dc27ba4824"/>
    <x:sheet xmlns:r="http://schemas.openxmlformats.org/officeDocument/2006/relationships" name="Road Edges" sheetId="7" r:id="Rd7ac83f4a54f49f0"/>
    <x:sheet xmlns:r="http://schemas.openxmlformats.org/officeDocument/2006/relationships" name="Delivery Points" sheetId="8" r:id="R976b0926744b4fbf"/>
    <x:sheet xmlns:r="http://schemas.openxmlformats.org/officeDocument/2006/relationships" name="Source Registry" sheetId="9" r:id="R02f22be674af4f72"/>
    <x:sheet xmlns:r="http://schemas.openxmlformats.org/officeDocument/2006/relationships" name="Data Dictionary" sheetId="10" r:id="R586f07a6a0284727"/>
    <x:sheet xmlns:r="http://schemas.openxmlformats.org/officeDocument/2006/relationships" name="Validation" sheetId="11" r:id="R17e0e74db75840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"/>
    <x:numFmt numFmtId="202" formatCode="#,##0"/>
    <x:numFmt numFmtId="203" formatCode="yyyy-mm-dd"/>
    <x:numFmt numFmtId="204" formatCode="0.00"/>
    <x:numFmt numFmtId="205" formatCode="0%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75467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color rgb="FF16324F"/>
      <x:name val="Carlito"/>
    </x:font>
    <x:font>
      <x:b/>
      <x:sz val="10"/>
      <x:color rgb="FFFFFFFF"/>
      <x:name val="Carlito"/>
    </x:font>
    <x:font>
      <x:sz val="9"/>
      <x:color rgb="FF1D2939"/>
      <x:name val="Carlito"/>
    </x:font>
    <x:font>
      <x:sz val="9"/>
      <x:name val="Carlito"/>
    </x:font>
    <x:font>
      <x:i/>
      <x:sz val="9"/>
      <x:color rgb="FF475467"/>
      <x:name val="Carlito"/>
    </x:font>
    <x:font>
      <x:b/>
      <x:sz val="9"/>
      <x:color rgb="FFD97706"/>
      <x:name val="Carlito"/>
    </x:font>
    <x:font>
      <x:i/>
      <x:sz val="9"/>
      <x:color rgb="FFD977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3F5"/>
      </x:patternFill>
    </x:fill>
    <x:fill>
      <x:patternFill patternType="solid">
        <x:fgColor rgb="FF0F6B78"/>
      </x:patternFill>
    </x:fill>
    <x:fill>
      <x:patternFill patternType="solid">
        <x:fgColor rgb="FFF2F4F7"/>
      </x:patternFill>
    </x:fill>
    <x:fill>
      <x:patternFill patternType="solid">
        <x:fgColor rgb="FFFFF4E5"/>
      </x:patternFill>
    </x:fill>
  </x:fills>
  <x:borders count="6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thin">
        <x:color rgb="FFEAECF0"/>
      </x:bottom>
    </x:border>
    <x:border>
      <x:top style="thin">
        <x:color rgb="FFEAECF0"/>
      </x:top>
      <x:bottom style="thin">
        <x:color rgb="FFEAECF0"/>
      </x:bottom>
    </x:border>
    <x:border>
      <x:top style="thin">
        <x:color rgb="FFEAECF0"/>
      </x:top>
      <x:bottom style="thin">
        <x:color rgb="FFD0D5DD"/>
      </x:bottom>
    </x:border>
    <x:border>
      <x:bottom style="thin">
        <x:color rgb="FFD0D5DD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200" fontId="7" fillId="0" borderId="2" xfId="0" applyNumberFormat="1" applyFont="1" applyFill="1" applyBorder="1" applyAlignment="1">
      <x:alignment vertical="center" wrapText="1"/>
    </x:xf>
    <x:xf numFmtId="200" fontId="7" fillId="0" borderId="3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vertical="center" wrapText="1"/>
    </x:xf>
    <x:xf numFmtId="200" fontId="7" fillId="6" borderId="2" xfId="0" applyNumberFormat="1" applyFont="1" applyFill="1" applyBorder="1" applyAlignment="1">
      <x:alignment vertical="center" wrapText="1"/>
    </x:xf>
    <x:xf numFmtId="200" fontId="7" fillId="6" borderId="3" xfId="0" applyNumberFormat="1" applyFont="1" applyFill="1" applyBorder="1" applyAlignment="1">
      <x:alignment vertical="center" wrapText="1"/>
    </x:xf>
    <x:xf numFmtId="200" fontId="7" fillId="6" borderId="4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10" fillId="6" borderId="2" xfId="0" applyNumberFormat="1" applyFont="1" applyFill="1" applyBorder="1" applyAlignment="1">
      <x:alignment vertical="center" wrapText="1"/>
    </x:xf>
    <x:xf numFmtId="0" fontId="10" fillId="6" borderId="3" xfId="0" applyNumberFormat="1" applyFont="1" applyFill="1" applyBorder="1" applyAlignment="1">
      <x:alignment vertical="center" wrapText="1"/>
    </x:xf>
    <x:xf numFmtId="0" fontId="10" fillId="6" borderId="4" xfId="0" applyNumberFormat="1" applyFont="1" applyFill="1" applyBorder="1" applyAlignment="1">
      <x:alignment vertical="center" wrapText="1"/>
    </x:xf>
    <x:xf numFmtId="0" fontId="10" fillId="6" borderId="2" xfId="0" applyNumberFormat="1" applyFont="1" applyFill="1" applyBorder="1" applyAlignment="1">
      <x:alignment horizontal="center" vertical="center" wrapText="1"/>
    </x:xf>
    <x:xf numFmtId="0" fontId="10" fillId="6" borderId="3" xfId="0" applyNumberFormat="1" applyFont="1" applyFill="1" applyBorder="1" applyAlignment="1">
      <x:alignment horizontal="center" vertical="center" wrapText="1"/>
    </x:xf>
    <x:xf numFmtId="0" fontId="10" fillId="6" borderId="4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horizontal="right" vertical="center" wrapText="1"/>
    </x:xf>
    <x:xf numFmtId="0" fontId="7" fillId="0" borderId="3" xfId="0" applyNumberFormat="1" applyFont="1" applyFill="1" applyBorder="1" applyAlignment="1">
      <x:alignment horizontal="right" vertical="center" wrapText="1"/>
    </x:xf>
    <x:xf numFmtId="0" fontId="7" fillId="0" borderId="4" xfId="0" applyNumberFormat="1" applyFont="1" applyFill="1" applyBorder="1" applyAlignment="1">
      <x:alignment horizontal="right" vertical="center" wrapText="1"/>
    </x:xf>
    <x:xf numFmtId="201" fontId="7" fillId="0" borderId="2" xfId="0" applyNumberFormat="1" applyFont="1" applyFill="1" applyBorder="1" applyAlignment="1">
      <x:alignment horizontal="right" vertical="center" wrapText="1"/>
    </x:xf>
    <x:xf numFmtId="201" fontId="7" fillId="0" borderId="3" xfId="0" applyNumberFormat="1" applyFont="1" applyFill="1" applyBorder="1" applyAlignment="1">
      <x:alignment horizontal="right" vertical="center" wrapText="1"/>
    </x:xf>
    <x:xf numFmtId="201" fontId="7" fillId="0" borderId="4" xfId="0" applyNumberFormat="1" applyFont="1" applyFill="1" applyBorder="1" applyAlignment="1">
      <x:alignment horizontal="right" vertical="center" wrapText="1"/>
    </x:xf>
    <x:xf numFmtId="202" fontId="7" fillId="0" borderId="2" xfId="0" applyNumberFormat="1" applyFont="1" applyFill="1" applyBorder="1" applyAlignment="1">
      <x:alignment horizontal="right" vertical="center" wrapText="1"/>
    </x:xf>
    <x:xf numFmtId="202" fontId="7" fillId="0" borderId="3" xfId="0" applyNumberFormat="1" applyFont="1" applyFill="1" applyBorder="1" applyAlignment="1">
      <x:alignment horizontal="right" vertical="center" wrapText="1"/>
    </x:xf>
    <x:xf numFmtId="202" fontId="7" fillId="0" borderId="4" xfId="0" applyNumberFormat="1" applyFont="1" applyFill="1" applyBorder="1" applyAlignment="1">
      <x:alignment horizontal="right" vertical="center" wrapText="1"/>
    </x:xf>
    <x:xf numFmtId="203" fontId="7" fillId="0" borderId="2" xfId="0" applyNumberFormat="1" applyFont="1" applyFill="1" applyBorder="1" applyAlignment="1">
      <x:alignment vertical="center" wrapText="1"/>
    </x:xf>
    <x:xf numFmtId="203" fontId="7" fillId="0" borderId="3" xfId="0" applyNumberFormat="1" applyFont="1" applyFill="1" applyBorder="1" applyAlignment="1">
      <x:alignment vertical="center" wrapText="1"/>
    </x:xf>
    <x:xf numFmtId="203" fontId="7" fillId="0" borderId="4" xfId="0" applyNumberFormat="1" applyFont="1" applyFill="1" applyBorder="1" applyAlignment="1">
      <x:alignment vertical="center" wrapText="1"/>
    </x:xf>
    <x:xf numFmtId="200" fontId="7" fillId="0" borderId="2" xfId="0" applyNumberFormat="1" applyFont="1" applyFill="1" applyBorder="1" applyAlignment="1">
      <x:alignment horizontal="right" vertical="center" wrapText="1"/>
    </x:xf>
    <x:xf numFmtId="200" fontId="7" fillId="0" borderId="3" xfId="0" applyNumberFormat="1" applyFont="1" applyFill="1" applyBorder="1" applyAlignment="1">
      <x:alignment horizontal="right" vertical="center" wrapText="1"/>
    </x:xf>
    <x:xf numFmtId="200" fontId="7" fillId="0" borderId="4" xfId="0" applyNumberFormat="1" applyFont="1" applyFill="1" applyBorder="1" applyAlignment="1">
      <x:alignment horizontal="right" vertical="center" wrapText="1"/>
    </x:xf>
    <x:xf numFmtId="204" fontId="7" fillId="0" borderId="2" xfId="0" applyNumberFormat="1" applyFont="1" applyFill="1" applyBorder="1" applyAlignment="1">
      <x:alignment horizontal="right" vertical="center" wrapText="1"/>
    </x:xf>
    <x:xf numFmtId="204" fontId="7" fillId="0" borderId="3" xfId="0" applyNumberFormat="1" applyFont="1" applyFill="1" applyBorder="1" applyAlignment="1">
      <x:alignment horizontal="right" vertical="center" wrapText="1"/>
    </x:xf>
    <x:xf numFmtId="204" fontId="7" fillId="0" borderId="4" xfId="0" applyNumberFormat="1" applyFont="1" applyFill="1" applyBorder="1" applyAlignment="1">
      <x:alignment horizontal="right" vertical="center" wrapText="1"/>
    </x:xf>
    <x:xf numFmtId="205" fontId="7" fillId="0" borderId="2" xfId="0" applyNumberFormat="1" applyFont="1" applyFill="1" applyBorder="1" applyAlignment="1">
      <x:alignment vertical="center" wrapText="1"/>
    </x:xf>
    <x:xf numFmtId="205" fontId="7" fillId="0" borderId="3" xfId="0" applyNumberFormat="1" applyFont="1" applyFill="1" applyBorder="1" applyAlignment="1">
      <x:alignment vertical="center" wrapText="1"/>
    </x:xf>
    <x:xf numFmtId="205" fontId="7" fillId="0" borderId="4" xfId="0" applyNumberFormat="1" applyFont="1" applyFill="1" applyBorder="1" applyAlignment="1">
      <x:alignment vertical="center" wrapText="1"/>
    </x:xf>
    <x:xf numFmtId="205" fontId="7" fillId="6" borderId="2" xfId="0" applyNumberFormat="1" applyFont="1" applyFill="1" applyBorder="1" applyAlignment="1">
      <x:alignment vertical="center" wrapText="1"/>
    </x:xf>
    <x:xf numFmtId="205" fontId="7" fillId="6" borderId="3" xfId="0" applyNumberFormat="1" applyFont="1" applyFill="1" applyBorder="1" applyAlignment="1">
      <x:alignment vertical="center" wrapText="1"/>
    </x:xf>
    <x:xf numFmtId="205" fontId="7" fillId="6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6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6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3">
    <x:dxf>
      <x:font>
        <x:b/>
        <x:color rgb="FF197149"/>
      </x:font>
      <x:fill>
        <x:patternFill patternType="solid">
          <x:bgColor rgb="FFE8F5EE"/>
        </x:patternFill>
      </x:fill>
    </x:dxf>
    <x:dxf>
      <x:font>
        <x:b/>
        <x:color rgb="FFD97706"/>
      </x:font>
      <x:fill>
        <x:patternFill patternType="solid">
          <x:bgColor rgb="FFFFF4E5"/>
        </x:patternFill>
      </x:fill>
    </x:dxf>
    <x:dxf>
      <x:font>
        <x:b/>
        <x:color rgb="FFD97706"/>
      </x:font>
      <x:fill>
        <x:patternFill patternType="solid">
          <x:bgColor rgb="FFFFF4E5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D97706"/>
      </x:font>
      <x:fill>
        <x:patternFill patternType="solid">
          <x:bgColor rgb="FFFFF4E5"/>
        </x:patternFill>
      </x:fill>
    </x:dxf>
    <x:dxf>
      <x:font>
        <x:color rgb="FF197149"/>
      </x:font>
      <x:fill>
        <x:patternFill patternType="solid">
          <x:bgColor rgb="FFE8F5EE"/>
        </x:patternFill>
      </x:fill>
    </x:dxf>
    <x:dxf>
      <x:font>
        <x:color rgb="FFD97706"/>
      </x:font>
      <x:fill>
        <x:patternFill patternType="solid">
          <x:bgColor rgb="FFFFF4E5"/>
        </x:patternFill>
      </x:fill>
    </x:dxf>
    <x:dxf>
      <x:font>
        <x:b/>
        <x:color rgb="FF197149"/>
      </x:font>
      <x:fill>
        <x:patternFill patternType="solid">
          <x:bgColor rgb="FFE8F5E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97149"/>
      </x:font>
      <x:fill>
        <x:patternFill patternType="solid">
          <x:bgColor rgb="FFE8F5E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D97706"/>
      </x:font>
      <x:fill>
        <x:patternFill patternType="solid">
          <x:bgColor rgb="FFFFF4E5"/>
        </x:patternFill>
      </x:fill>
    </x:dxf>
    <x:dxf>
      <x:font>
        <x:b/>
        <x:color rgb="FF16324F"/>
      </x:font>
      <x:fill>
        <x:patternFill patternType="solid">
          <x:bgColor rgb="FFE8EE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36147c83a4588" /><Relationship Type="http://schemas.openxmlformats.org/officeDocument/2006/relationships/theme" Target="/xl/theme/theme1.xml" Id="R4579f96ef4024530" /><Relationship Type="http://schemas.microsoft.com/office/2022/11/relationships/FeaturePropertyBag" Target="/xl/featurePropertyBag/featurePropertyBag.xml" Id="Rc65e3aa114ba4096" /><Relationship Type="http://schemas.openxmlformats.org/officeDocument/2006/relationships/sharedStrings" Target="/xl/sharedStrings.xml" Id="R7a5fb408fbfa432f" /><Relationship Type="http://schemas.openxmlformats.org/officeDocument/2006/relationships/worksheet" Target="/xl/worksheets/sheet1.xml" Id="R3a509d305def46c5" /><Relationship Type="http://schemas.openxmlformats.org/officeDocument/2006/relationships/worksheet" Target="/xl/worksheets/sheet2.xml" Id="R826c962e17e949a4" /><Relationship Type="http://schemas.openxmlformats.org/officeDocument/2006/relationships/worksheet" Target="/xl/worksheets/sheet3.xml" Id="R8f610bdc209a42fe" /><Relationship Type="http://schemas.openxmlformats.org/officeDocument/2006/relationships/worksheet" Target="/xl/worksheets/sheet4.xml" Id="R762ff3fa493b4775" /><Relationship Type="http://schemas.openxmlformats.org/officeDocument/2006/relationships/worksheet" Target="/xl/worksheets/sheet5.xml" Id="Re5a984393ade4cfa" /><Relationship Type="http://schemas.openxmlformats.org/officeDocument/2006/relationships/worksheet" Target="/xl/worksheets/sheet6.xml" Id="Rfcccf8dc27ba4824" /><Relationship Type="http://schemas.openxmlformats.org/officeDocument/2006/relationships/worksheet" Target="/xl/worksheets/sheet7.xml" Id="Rd7ac83f4a54f49f0" /><Relationship Type="http://schemas.openxmlformats.org/officeDocument/2006/relationships/worksheet" Target="/xl/worksheets/sheet8.xml" Id="R976b0926744b4fbf" /><Relationship Type="http://schemas.openxmlformats.org/officeDocument/2006/relationships/worksheet" Target="/xl/worksheets/sheet9.xml" Id="R02f22be674af4f72" /><Relationship Type="http://schemas.openxmlformats.org/officeDocument/2006/relationships/worksheet" Target="/xl/worksheets/sheet10.xml" Id="R586f07a6a0284727" /><Relationship Type="http://schemas.openxmlformats.org/officeDocument/2006/relationships/worksheet" Target="/xl/worksheets/sheet11.xml" Id="R17e0e74db7584023" /><Relationship Type="http://schemas.microsoft.com/office/2017/10/relationships/person" Target="/xl/persons/person.xml" Id="R7a11e32af2f74a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2DC2410F-127C-4428-A068-77338910A9D1}"/>
</xltc:personList>
</file>

<file path=xl/tables/table1.xml><?xml version="1.0" encoding="utf-8"?>
<x:table xmlns:x="http://schemas.openxmlformats.org/spreadsheetml/2006/main" id="1" name="FloodHotspotsTable" displayName="FloodHotspotsTable" ref="A5:Q29" headerRowCount="1" totalsRowCount="0" totalsRowShown="0">
  <x:tableColumns count="17">
    <x:tableColumn id="1" name="record_id"/>
    <x:tableColumn id="2" name="road_name"/>
    <x:tableColumn id="3" name="legacy_ward"/>
    <x:tableColumn id="4" name="segment_start"/>
    <x:tableColumn id="5" name="segment_end"/>
    <x:tableColumn id="6" name="depth_min_cm"/>
    <x:tableColumn id="7" name="depth_max_cm"/>
    <x:tableColumn id="8" name="depth_mid_cm"/>
    <x:tableColumn id="9" name="affected_length_m"/>
    <x:tableColumn id="10" name="drainage_time_min"/>
    <x:tableColumn id="11" name="source_description"/>
    <x:tableColumn id="12" name="cause_note"/>
    <x:tableColumn id="13" name="proposed_risk_level"/>
    <x:tableColumn id="14" name="source_id"/>
    <x:tableColumn id="15" name="source_date"/>
    <x:tableColumn id="16" name="source_url"/>
    <x:tableColumn id="17" name="mapping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fficScenariosTable" displayName="TrafficScenariosTable" ref="A5:K21" headerRowCount="1" totalsRowCount="0" totalsRowShown="0">
  <x:tableColumns count="11">
    <x:tableColumn id="1" name="scenario_id"/>
    <x:tableColumn id="2" name="scenario_name"/>
    <x:tableColumn id="3" name="time_band"/>
    <x:tableColumn id="4" name="road_class"/>
    <x:tableColumn id="5" name="congestion_level_1_5"/>
    <x:tableColumn id="6" name="speed_multiplier"/>
    <x:tableColumn id="7" name="flood_penalty_multiplier"/>
    <x:tableColumn id="8" name="closure_behavior"/>
    <x:tableColumn id="9" name="data_status"/>
    <x:tableColumn id="10" name="source_id"/>
    <x:tableColumn id="11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stWeightsTable" displayName="CostWeightsTable" ref="A5:I8" headerRowCount="1" totalsRowCount="0" totalsRowShown="0">
  <x:tableColumns count="9">
    <x:tableColumn id="1" name="preset_id"/>
    <x:tableColumn id="2" name="preset_name"/>
    <x:tableColumn id="3" name="alpha_distance"/>
    <x:tableColumn id="4" name="beta_freeflow_time"/>
    <x:tableColumn id="5" name="gamma_congestion"/>
    <x:tableColumn id="6" name="delta_flood_risk"/>
    <x:tableColumn id="7" name="weight_sum"/>
    <x:tableColumn id="8" name="validation"/>
    <x:tableColumn id="9" name="use_ca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RegistryTable" displayName="SourceRegistryTable" ref="A5:I20" headerRowCount="1" totalsRowCount="0" totalsRowShown="0">
  <x:tableColumns count="9">
    <x:tableColumn id="1" name="source_id"/>
    <x:tableColumn id="2" name="title"/>
    <x:tableColumn id="3" name="publisher_author"/>
    <x:tableColumn id="4" name="publication_date"/>
    <x:tableColumn id="5" name="used_for"/>
    <x:tableColumn id="6" name="url_or_location"/>
    <x:tableColumn id="7" name="access_date"/>
    <x:tableColumn id="8" name="reliability"/>
    <x:tableColumn id="9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DictionaryTable" displayName="DataDictionaryTable" ref="A5:H25" headerRowCount="1" totalsRowCount="0" totalsRowShown="0">
  <x:tableColumns count="8">
    <x:tableColumn id="1" name="table"/>
    <x:tableColumn id="2" name="field"/>
    <x:tableColumn id="3" name="type"/>
    <x:tableColumn id="4" name="unit"/>
    <x:tableColumn id="5" name="requirement"/>
    <x:tableColumn id="6" name="validation_rule"/>
    <x:tableColumn id="7" name="source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6738b1dcaca47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fb85a71ec5a4c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badce3dc1d244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.xml" Id="R3160baea5cd94ec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5.xml" Id="R6858d3c95cf244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3" hidden="0" customWidth="1"/>
    <x:col min="5" max="5" width="10" hidden="0" customWidth="1"/>
    <x:col min="6" max="6" width="25" hidden="0" customWidth="1"/>
    <x:col min="7" max="7" width="24" hidden="0" customWidth="1"/>
    <x:col min="8" max="8" width="18" hidden="0" customWidth="1"/>
  </x:cols>
  <x:sheetData>
    <x:row r="1" ht="34" customHeight="1">
      <x:c r="A1" s="3" t="str">
        <x:v>FLOODROUTE HCMC - DATASET v0.1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Bộ dữ liệu khởi tạo cho đồ án tối ưu lộ trình giao hàng đa điểm theo kẹt xe và ngập nước | Cập nhật: 2026-07-16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TRẠNG THÁI VÀ NGUYÊN TẮC SỬ DỤNG</x:v>
      </x:c>
      <x:c r="B4" s="10"/>
      <x:c r="C4" s="10"/>
      <x:c r="D4" s="10"/>
      <x:c r="E4" s="10"/>
      <x:c r="F4" s="10"/>
      <x:c r="G4" s="10"/>
      <x:c r="H4" s="10"/>
    </x:row>
    <x:row r="5">
      <x:c r="A5" s="16" t="str">
        <x:v>Phiên bản</x:v>
      </x:c>
      <x:c r="B5" s="14" t="str">
        <x:v>0.1 - preliminary</x:v>
      </x:c>
      <x:c r="C5" s="14"/>
      <x:c r="D5" s="14"/>
      <x:c r="E5" s="16" t="str">
        <x:v>Phạm vi</x:v>
      </x:c>
      <x:c r="F5" s="14" t="str">
        <x:v>Khu vực phía Đông TP.HCM (địa danh theo nguồn 2025)</x:v>
      </x:c>
      <x:c r="G5" s="14"/>
      <x:c r="H5" s="14"/>
    </x:row>
    <x:row r="6">
      <x:c r="A6" s="16" t="str">
        <x:v>Lớp dữ liệu thật</x:v>
      </x:c>
      <x:c r="B6" s="14" t="str">
        <x:v>24 điểm ngập được ghi nhận; mỗi dòng có URL nguồn</x:v>
      </x:c>
      <x:c r="C6" s="14"/>
      <x:c r="D6" s="14"/>
      <x:c r="E6" s="16" t="str">
        <x:v>Lớp cần bổ sung</x:v>
      </x:c>
      <x:c r="F6" s="14" t="str">
        <x:v>Mạng đường OSM, tọa độ, OSM way ID và kết quả map-matching</x:v>
      </x:c>
      <x:c r="G6" s="14"/>
      <x:c r="H6" s="14"/>
    </x:row>
    <x:row r="7">
      <x:c r="A7" s="16" t="str">
        <x:v>Lớp mô phỏng</x:v>
      </x:c>
      <x:c r="B7" s="14" t="str">
        <x:v>Mức ùn tắc, hệ số tốc độ, trọng số chi phí</x:v>
      </x:c>
      <x:c r="C7" s="14"/>
      <x:c r="D7" s="14"/>
      <x:c r="E7" s="16" t="str">
        <x:v>Quy tắc</x:v>
      </x:c>
      <x:c r="F7" s="14" t="str">
        <x:v>Không được trình bày dữ liệu mô phỏng như dữ liệu giao thông thời gian thực</x:v>
      </x:c>
      <x:c r="G7" s="14"/>
      <x:c r="H7" s="14"/>
    </x:row>
    <x:row r="8">
      <x:c r="A8" s="16" t="str">
        <x:v>Đơn vị</x:v>
      </x:c>
      <x:c r="B8" s="14" t="str">
        <x:v>cm, m, phút, km/h</x:v>
      </x:c>
      <x:c r="C8" s="14"/>
      <x:c r="D8" s="14"/>
      <x:c r="E8" s="16" t="str">
        <x:v>Bản quyền</x:v>
      </x:c>
      <x:c r="F8" s="14" t="str">
        <x:v>Ghi công OpenStreetMap và giữ lại nguồn của từng bản ghi</x:v>
      </x:c>
      <x:c r="G8" s="14"/>
      <x:c r="H8" s="14"/>
    </x:row>
    <x:row r="9">
      <x:c r="A9" s="16" t="str">
        <x:v>Mục tiêu</x:v>
      </x:c>
      <x:c r="B9" s="14" t="str">
        <x:v>Dùng cho phát triển, kiểm thử thuật toán và báo cáo học thuật</x:v>
      </x:c>
      <x:c r="C9" s="14"/>
      <x:c r="D9" s="14"/>
      <x:c r="E9" s="16" t="str">
        <x:v>Không phù hợp</x:v>
      </x:c>
      <x:c r="F9" s="14" t="str">
        <x:v>Không dùng để hướng dẫn di chuyển an toàn ngoài đời thực</x:v>
      </x:c>
      <x:c r="G9" s="14"/>
      <x:c r="H9" s="14"/>
    </x:row>
    <x:row r="11">
      <x:c r="A11" s="9" t="str">
        <x:v>DANH MỤC WORKSHEET</x:v>
      </x:c>
      <x:c r="B11" s="9"/>
      <x:c r="C11" s="9"/>
      <x:c r="D11" s="9"/>
      <x:c r="E11" s="9"/>
      <x:c r="F11" s="9"/>
      <x:c r="G11" s="9"/>
      <x:c r="H11" s="9"/>
    </x:row>
    <x:row r="12" ht="30" customHeight="1">
      <x:c r="A12" s="21" t="str">
        <x:v>Worksheet</x:v>
      </x:c>
      <x:c r="B12" s="21" t="str">
        <x:v>Nội dung</x:v>
      </x:c>
      <x:c r="C12" s="21" t="str">
        <x:v>Trạng thái</x:v>
      </x:c>
      <x:c r="E12" s="35" t="str">
        <x:v>QUY TRÌNH HOÀN THIỆN DATASET</x:v>
      </x:c>
      <x:c r="F12" s="35"/>
      <x:c r="G12" s="35"/>
      <x:c r="H12" s="35"/>
    </x:row>
    <x:row r="13">
      <x:c r="A13" s="29" t="str">
        <x:v>Flood Hotspots</x:v>
      </x:c>
      <x:c r="B13" s="29" t="str">
        <x:v>24 điểm ngập có nguồn từng dòng và trường định lượng</x:v>
      </x:c>
      <x:c r="C13" s="32" t="str">
        <x:v>Đã điền</x:v>
      </x:c>
      <x:c r="E13" s="42" t="n">
        <x:v>1</x:v>
      </x:c>
      <x:c r="F13" s="39" t="str">
        <x:v>Chọn bbox/polygon</x:v>
      </x:c>
      <x:c r="G13" s="39" t="str">
        <x:v>Khoanh vùng đủ 80-150 giao lộ</x:v>
      </x:c>
      <x:c r="H13" s="39" t="str">
        <x:v>Nhóm dữ liệu</x:v>
      </x:c>
    </x:row>
    <x:row r="14">
      <x:c r="A14" s="30" t="str">
        <x:v>Traffic Scenarios</x:v>
      </x:c>
      <x:c r="B14" s="30" t="str">
        <x:v>Hệ số giao thông giả lập theo kịch bản và loại đường</x:v>
      </x:c>
      <x:c r="C14" s="33" t="str">
        <x:v>Giả lập - cần hiệu chỉnh</x:v>
      </x:c>
      <x:c r="E14" s="42" t="n">
        <x:v>2</x:v>
      </x:c>
      <x:c r="F14" s="39" t="str">
        <x:v>Trích xuất OSM</x:v>
      </x:c>
      <x:c r="G14" s="39" t="str">
        <x:v>Lưu snapshot, nodes, edges và GraphML</x:v>
      </x:c>
      <x:c r="H14" s="39" t="str">
        <x:v>Nhóm dữ liệu</x:v>
      </x:c>
    </x:row>
    <x:row r="15">
      <x:c r="A15" s="30" t="str">
        <x:v>Cost Weights</x:v>
      </x:c>
      <x:c r="B15" s="30" t="str">
        <x:v>Các preset trọng số cho hàm chi phí</x:v>
      </x:c>
      <x:c r="C15" s="33" t="str">
        <x:v>Giả định - có công thức kiểm tra</x:v>
      </x:c>
      <x:c r="E15" s="42" t="n">
        <x:v>3</x:v>
      </x:c>
      <x:c r="F15" s="39" t="str">
        <x:v>Làm sạch topology</x:v>
      </x:c>
      <x:c r="G15" s="39" t="str">
        <x:v>Giữ nút giao/ngõ cụt; bảo toàn one-way</x:v>
      </x:c>
      <x:c r="H15" s="39" t="str">
        <x:v>Nhóm dữ liệu + thuật toán</x:v>
      </x:c>
    </x:row>
    <x:row r="16">
      <x:c r="A16" s="30" t="str">
        <x:v>Assumptions</x:v>
      </x:c>
      <x:c r="B16" s="30" t="str">
        <x:v>Ngưỡng rủi ro, quy tắc dữ liệu và giới hạn</x:v>
      </x:c>
      <x:c r="C16" s="33" t="str">
        <x:v>Có thể chỉnh sửa</x:v>
      </x:c>
      <x:c r="E16" s="42" t="n">
        <x:v>4</x:v>
      </x:c>
      <x:c r="F16" s="39" t="str">
        <x:v>Map-match điểm ngập</x:v>
      </x:c>
      <x:c r="G16" s="39" t="str">
        <x:v>Ghép đường/đoạn với OSM way ID; kiểm tra thủ công</x:v>
      </x:c>
      <x:c r="H16" s="39" t="str">
        <x:v>Hai người duyệt</x:v>
      </x:c>
    </x:row>
    <x:row r="17">
      <x:c r="A17" s="30" t="str">
        <x:v>Road Nodes</x:v>
      </x:c>
      <x:c r="B17" s="30" t="str">
        <x:v>Schema nút của đồ thị OSM</x:v>
      </x:c>
      <x:c r="C17" s="33" t="str">
        <x:v>Chờ trích xuất</x:v>
      </x:c>
      <x:c r="E17" s="42" t="n">
        <x:v>5</x:v>
      </x:c>
      <x:c r="F17" s="39" t="str">
        <x:v>Gán kịch bản</x:v>
      </x:c>
      <x:c r="G17" s="39" t="str">
        <x:v>Áp dụng hệ số traffic mô phỏng có nhãn</x:v>
      </x:c>
      <x:c r="H17" s="39" t="str">
        <x:v>Nhóm mô hình</x:v>
      </x:c>
    </x:row>
    <x:row r="18">
      <x:c r="A18" s="30" t="str">
        <x:v>Road Edges</x:v>
      </x:c>
      <x:c r="B18" s="30" t="str">
        <x:v>Schema cạnh có hướng và thuộc tính chi phí</x:v>
      </x:c>
      <x:c r="C18" s="33" t="str">
        <x:v>Chờ trích xuất</x:v>
      </x:c>
      <x:c r="E18" s="42" t="n">
        <x:v>6</x:v>
      </x:c>
      <x:c r="F18" s="39" t="str">
        <x:v>Kiểm tra QC</x:v>
      </x:c>
      <x:c r="G18" s="39" t="str">
        <x:v>ID duy nhất, graph liên thông, trọng số không âm</x:v>
      </x:c>
      <x:c r="H18" s="39" t="str">
        <x:v>Toàn nhóm</x:v>
      </x:c>
    </x:row>
    <x:row r="19">
      <x:c r="A19" s="30" t="str">
        <x:v>Delivery Points</x:v>
      </x:c>
      <x:c r="B19" s="30" t="str">
        <x:v>Schema kho/điểm giao hàng</x:v>
      </x:c>
      <x:c r="C19" s="33" t="str">
        <x:v>Chờ nhóm chọn</x:v>
      </x:c>
      <x:c r="E19" s="42" t="n">
        <x:v>7</x:v>
      </x:c>
      <x:c r="F19" s="39" t="str">
        <x:v>Đóng băng v1.0</x:v>
      </x:c>
      <x:c r="G19" s="39" t="str">
        <x:v>Ghi ngày snapshot, checksum và changelog</x:v>
      </x:c>
      <x:c r="H19" s="39" t="str">
        <x:v>Đại diện nhóm</x:v>
      </x:c>
    </x:row>
    <x:row r="20">
      <x:c r="A20" s="31" t="str">
        <x:v>Data Dictionary</x:v>
      </x:c>
      <x:c r="B20" s="31" t="str">
        <x:v>Định nghĩa trường, kiểu dữ liệu, nguồn và quy tắc</x:v>
      </x:c>
      <x:c r="C20" s="34" t="str">
        <x:v>Đã điền</x:v>
      </x:c>
    </x:row>
    <x:row r="22">
      <x:c r="A22" s="46" t="str">
        <x:v>Lưu ý: Dataset v0.1 đã có lớp nguy cơ ngập nguồn-backed, nhưng chưa phải đồ thị định tuyến hoàn chỉnh. Nhóm chỉ được tuyên bố 'real-time' nếu thực sự có API và thời điểm đo; nếu không, phải gọi đúng là scenario-based simulation.</x:v>
      </x:c>
      <x:c r="B22" s="46"/>
      <x:c r="C22" s="46"/>
      <x:c r="D22" s="46"/>
      <x:c r="E22" s="46"/>
      <x:c r="F22" s="46"/>
      <x:c r="G22" s="46"/>
      <x:c r="H22" s="46"/>
    </x:row>
    <x:row r="23">
      <x:c r="A23" s="46"/>
      <x:c r="B23" s="46"/>
      <x:c r="C23" s="46"/>
      <x:c r="D23" s="46"/>
      <x:c r="E23" s="46"/>
      <x:c r="F23" s="46"/>
      <x:c r="G23" s="46"/>
      <x:c r="H23" s="46"/>
    </x:row>
  </x:sheetData>
  <x:mergeCells>
    <x:mergeCell ref="A1:H1"/>
    <x:mergeCell ref="A2:H2"/>
    <x:mergeCell ref="A4:H4"/>
    <x:mergeCell ref="A11:H11"/>
    <x:mergeCell ref="E12:H12"/>
    <x:mergeCell ref="A22:H23"/>
  </x:mergeCells>
  <x:conditionalFormatting sqref="C13:C20">
    <x:cfRule type="containsText" dxfId="0" priority="1" operator="containsText" text="Đã điền"/>
    <x:cfRule type="containsText" dxfId="1" priority="2" operator="containsText" text="Chờ"/>
    <x:cfRule type="containsText" dxfId="2" priority="3" operator="containsText" text="Giả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4" hidden="0" customWidth="1"/>
    <x:col min="4" max="4" width="28" hidden="0" customWidth="1"/>
    <x:col min="5" max="5" width="15" hidden="0" customWidth="1"/>
    <x:col min="6" max="6" width="32" hidden="0" customWidth="1"/>
  </x:cols>
  <x:sheetData>
    <x:row r="1" ht="34" customHeight="1">
      <x:c r="A1" s="3" t="str">
        <x:v>ASSUMPTIONS &amp; RULES</x:v>
      </x:c>
      <x:c r="B1" s="3"/>
      <x:c r="C1" s="3"/>
      <x:c r="D1" s="3"/>
      <x:c r="E1" s="3"/>
      <x:c r="F1" s="3"/>
    </x:row>
    <x:row r="2" ht="32" customHeight="1">
      <x:c r="A2" s="7" t="str">
        <x:v>Các ngưỡng dưới đây là giả định của đồ án, không phải khuyến cáo an toàn giao thông chính thức.</x:v>
      </x:c>
      <x:c r="B2" s="7"/>
      <x:c r="C2" s="7"/>
      <x:c r="D2" s="7"/>
      <x:c r="E2" s="7"/>
      <x:c r="F2" s="7"/>
    </x:row>
    <x:row r="5" ht="30" customHeight="1">
      <x:c r="A5" s="21" t="str">
        <x:v>Parameter</x:v>
      </x:c>
      <x:c r="B5" s="21" t="str">
        <x:v>Value</x:v>
      </x:c>
      <x:c r="C5" s="21" t="str">
        <x:v>Unit</x:v>
      </x:c>
      <x:c r="D5" s="21" t="str">
        <x:v>Purpose</x:v>
      </x:c>
      <x:c r="E5" s="21" t="str">
        <x:v>Status</x:v>
      </x:c>
      <x:c r="F5" s="21" t="str">
        <x:v>Notes</x:v>
      </x:c>
    </x:row>
    <x:row r="6">
      <x:c r="A6" s="29" t="str">
        <x:v>Low risk max depth</x:v>
      </x:c>
      <x:c r="B6" s="50" t="n">
        <x:v>10</x:v>
      </x:c>
      <x:c r="C6" s="29" t="str">
        <x:v>cm</x:v>
      </x:c>
      <x:c r="D6" s="29" t="str">
        <x:v>Phân loại sơ bộ cho mô hình</x:v>
      </x:c>
      <x:c r="E6" s="59" t="str">
        <x:v>ASSUMPTION</x:v>
      </x:c>
      <x:c r="F6" s="29" t="str">
        <x:v>Không dùng như ngưỡng an toàn ngoài đời thực</x:v>
      </x:c>
    </x:row>
    <x:row r="7">
      <x:c r="A7" s="30" t="str">
        <x:v>Medium risk max depth</x:v>
      </x:c>
      <x:c r="B7" s="51" t="n">
        <x:v>20</x:v>
      </x:c>
      <x:c r="C7" s="30" t="str">
        <x:v>cm</x:v>
      </x:c>
      <x:c r="D7" s="30" t="str">
        <x:v>Phân loại sơ bộ cho mô hình</x:v>
      </x:c>
      <x:c r="E7" s="60" t="str">
        <x:v>ASSUMPTION</x:v>
      </x:c>
      <x:c r="F7" s="30" t="str">
        <x:v>Hiệu chỉnh sau khi có chuyên gia hoặc quy chuẩn</x:v>
      </x:c>
    </x:row>
    <x:row r="8">
      <x:c r="A8" s="31" t="str">
        <x:v>High risk max depth</x:v>
      </x:c>
      <x:c r="B8" s="52" t="n">
        <x:v>30</x:v>
      </x:c>
      <x:c r="C8" s="31" t="str">
        <x:v>cm</x:v>
      </x:c>
      <x:c r="D8" s="31" t="str">
        <x:v>Phân loại sơ bộ cho mô hình</x:v>
      </x:c>
      <x:c r="E8" s="61" t="str">
        <x:v>ASSUMPTION</x:v>
      </x:c>
      <x:c r="F8" s="31" t="str">
        <x:v>Trên ngưỡng này gắn Very high trong dataset</x:v>
      </x:c>
    </x:row>
    <x:row r="11" ht="30" customHeight="1">
      <x:c r="A11" s="21" t="str">
        <x:v>Rule ID</x:v>
      </x:c>
      <x:c r="B11" s="21" t="str">
        <x:v>Rule</x:v>
      </x:c>
      <x:c r="C11" s="21" t="str">
        <x:v>Applies to</x:v>
      </x:c>
      <x:c r="D11" s="21" t="str">
        <x:v>Required action</x:v>
      </x:c>
      <x:c r="E11" s="21" t="str">
        <x:v>Owner</x:v>
      </x:c>
      <x:c r="F11" s="21" t="str">
        <x:v>Rationale</x:v>
      </x:c>
    </x:row>
    <x:row r="12">
      <x:c r="A12" s="29" t="str">
        <x:v>R01</x:v>
      </x:c>
      <x:c r="B12" s="29" t="str">
        <x:v>Không suy diễn số liệu thiếu</x:v>
      </x:c>
      <x:c r="C12" s="29" t="str">
        <x:v>Flood Hotspots</x:v>
      </x:c>
      <x:c r="D12" s="29" t="str">
        <x:v>Để trống và gắn Needs verification</x:v>
      </x:c>
      <x:c r="E12" s="29" t="str">
        <x:v>Data</x:v>
      </x:c>
      <x:c r="F12" s="29" t="str">
        <x:v>Tránh biến mô tả định tính thành số giả</x:v>
      </x:c>
    </x:row>
    <x:row r="13">
      <x:c r="A13" s="30" t="str">
        <x:v>R02</x:v>
      </x:c>
      <x:c r="B13" s="30" t="str">
        <x:v>Mỗi hàng dữ liệu thật phải có source_id và URL</x:v>
      </x:c>
      <x:c r="C13" s="30" t="str">
        <x:v>All source-backed tables</x:v>
      </x:c>
      <x:c r="D13" s="30" t="str">
        <x:v>Reject khi thiếu</x:v>
      </x:c>
      <x:c r="E13" s="30" t="str">
        <x:v>Data QA</x:v>
      </x:c>
      <x:c r="F13" s="30" t="str">
        <x:v>Truy vết được nguồn</x:v>
      </x:c>
    </x:row>
    <x:row r="14">
      <x:c r="A14" s="30" t="str">
        <x:v>R03</x:v>
      </x:c>
      <x:c r="B14" s="30" t="str">
        <x:v>Traffic scenario phải có nhãn SIMULATED</x:v>
      </x:c>
      <x:c r="C14" s="30" t="str">
        <x:v>Traffic Scenarios</x:v>
      </x:c>
      <x:c r="D14" s="30" t="str">
        <x:v>Reject khi nhãn khác</x:v>
      </x:c>
      <x:c r="E14" s="30" t="str">
        <x:v>Model</x:v>
      </x:c>
      <x:c r="F14" s="30" t="str">
        <x:v>Không nhầm với dữ liệu thời gian thực</x:v>
      </x:c>
    </x:row>
    <x:row r="15">
      <x:c r="A15" s="30" t="str">
        <x:v>R04</x:v>
      </x:c>
      <x:c r="B15" s="30" t="str">
        <x:v>OSM phải có snapshot date và attribution</x:v>
      </x:c>
      <x:c r="C15" s="30" t="str">
        <x:v>Road Nodes/Edges</x:v>
      </x:c>
      <x:c r="D15" s="30" t="str">
        <x:v>Lưu ngày và nguồn</x:v>
      </x:c>
      <x:c r="E15" s="30" t="str">
        <x:v>Data</x:v>
      </x:c>
      <x:c r="F15" s="30" t="str">
        <x:v>Tái lập và tuân thủ giấy phép</x:v>
      </x:c>
    </x:row>
    <x:row r="16">
      <x:c r="A16" s="31" t="str">
        <x:v>R05</x:v>
      </x:c>
      <x:c r="B16" s="31" t="str">
        <x:v>Hai người kiểm tra map-matching</x:v>
      </x:c>
      <x:c r="C16" s="31" t="str">
        <x:v>Flood-to-edge mapping</x:v>
      </x:c>
      <x:c r="D16" s="31" t="str">
        <x:v>Một người map, một người review</x:v>
      </x:c>
      <x:c r="E16" s="31" t="str">
        <x:v>Team</x:v>
      </x:c>
      <x:c r="F16" s="31" t="str">
        <x:v>Giảm ghép sai tên đường/đoạn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4" hidden="0" customWidth="1"/>
    <x:col min="4" max="4" width="24" hidden="0" customWidth="1"/>
    <x:col min="5" max="5" width="28" hidden="0" customWidth="1"/>
    <x:col min="6" max="6" width="13" hidden="0" customWidth="1"/>
    <x:col min="7" max="7" width="13" hidden="0" customWidth="1"/>
    <x:col min="8" max="8" width="13" hidden="0" customWidth="1"/>
    <x:col min="9" max="9" width="16" hidden="0" customWidth="1"/>
    <x:col min="10" max="10" width="17" hidden="0" customWidth="1"/>
    <x:col min="11" max="11" width="42" hidden="0" customWidth="1"/>
    <x:col min="12" max="12" width="28" hidden="0" customWidth="1"/>
    <x:col min="13" max="13" width="20" hidden="0" customWidth="1"/>
    <x:col min="14" max="14" width="11" hidden="0" customWidth="1"/>
    <x:col min="15" max="15" width="14" hidden="0" customWidth="1"/>
    <x:col min="16" max="16" width="45" hidden="0" customWidth="1"/>
    <x:col min="17" max="17" width="17" hidden="0" customWidth="1"/>
  </x:cols>
  <x:sheetData>
    <x:row r="1" ht="34" customHeight="1">
      <x:c r="A1" s="3" t="str">
        <x:v>FLOOD HOTSPOTS - 24 SOURCE-BACKED RECORDS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2" customHeight="1">
      <x:c r="A2" s="7" t="str">
        <x:v>Nguồn chính: Trung tâm Báo chí TP.HCM, 17/05/2025. Địa danh phường được giữ theo thời điểm nguồn công bố.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>
      <x:c r="A3" s="46" t="str">
        <x:v>Source URL: https://ttbc-hcm.gov.vn/24-diem-mua-la-ngap-o-tp-thu-duc-nguoi-dan-can-chu-y-1018710.html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</x:row>
    <x:row r="5" ht="30" customHeight="1">
      <x:c r="A5" s="21" t="str">
        <x:v>record_id</x:v>
      </x:c>
      <x:c r="B5" s="21" t="str">
        <x:v>road_name</x:v>
      </x:c>
      <x:c r="C5" s="21" t="str">
        <x:v>legacy_ward</x:v>
      </x:c>
      <x:c r="D5" s="21" t="str">
        <x:v>segment_start</x:v>
      </x:c>
      <x:c r="E5" s="21" t="str">
        <x:v>segment_end</x:v>
      </x:c>
      <x:c r="F5" s="21" t="str">
        <x:v>depth_min_cm</x:v>
      </x:c>
      <x:c r="G5" s="21" t="str">
        <x:v>depth_max_cm</x:v>
      </x:c>
      <x:c r="H5" s="21" t="str">
        <x:v>depth_mid_cm</x:v>
      </x:c>
      <x:c r="I5" s="21" t="str">
        <x:v>affected_length_m</x:v>
      </x:c>
      <x:c r="J5" s="21" t="str">
        <x:v>drainage_time_min</x:v>
      </x:c>
      <x:c r="K5" s="21" t="str">
        <x:v>source_description</x:v>
      </x:c>
      <x:c r="L5" s="21" t="str">
        <x:v>cause_note</x:v>
      </x:c>
      <x:c r="M5" s="21" t="str">
        <x:v>proposed_risk_level</x:v>
      </x:c>
      <x:c r="N5" s="21" t="str">
        <x:v>source_id</x:v>
      </x:c>
      <x:c r="O5" s="21" t="str">
        <x:v>source_date</x:v>
      </x:c>
      <x:c r="P5" s="21" t="str">
        <x:v>source_url</x:v>
      </x:c>
      <x:c r="Q5" s="21" t="str">
        <x:v>mapping_status</x:v>
      </x:c>
    </x:row>
    <x:row r="6">
      <x:c r="A6" s="29" t="str">
        <x:v>FH2025-001</x:v>
      </x:c>
      <x:c r="B6" s="29" t="str">
        <x:v>Đường Thảo Điền</x:v>
      </x:c>
      <x:c r="C6" s="29" t="str">
        <x:v>Thảo Điền</x:v>
      </x:c>
      <x:c r="D6" s="29" t="str">
        <x:v>Hẻm 97</x:v>
      </x:c>
      <x:c r="E6" s="29" t="str">
        <x:v>Cửa số 8</x:v>
      </x:c>
      <x:c r="F6" s="65" t="n">
        <x:v>10</x:v>
      </x:c>
      <x:c r="G6" s="65" t="n">
        <x:v>10</x:v>
      </x:c>
      <x:c r="H6" s="65" t="n">
        <x:f>IF(COUNT(F6:G6)=0,"",AVERAGE(F6:G6))</x:f>
        <x:v>10</x:v>
      </x:c>
      <x:c r="I6" s="68" t="n">
        <x:v>270</x:v>
      </x:c>
      <x:c r="J6" s="68" t="n">
        <x:v>120</x:v>
      </x:c>
      <x:c r="K6" s="29" t="str">
        <x:v>Ngập sâu 10 cm; kéo dài 270 m; rút nước chậm.</x:v>
      </x:c>
      <x:c r="L6" s="29" t="str">
        <x:v>Rút nước chậm</x:v>
      </x:c>
      <x:c r="M6" s="29" t="str">
        <x:f>IF(G6="","Needs verification",IF(G6&lt;='Assumptions'!$B$6,"Low",IF(G6&lt;='Assumptions'!$B$7,"Medium",IF(G6&lt;='Assumptions'!$B$8,"High","Very high"))))</x:f>
        <x:v>Low</x:v>
      </x:c>
      <x:c r="N6" s="29" t="str">
        <x:v>S03</x:v>
      </x:c>
      <x:c r="O6" s="71" t="n">
        <x:v>45794</x:v>
      </x:c>
      <x:c r="P6" s="29" t="str">
        <x:v>https://ttbc-hcm.gov.vn/24-diem-mua-la-ngap-o-tp-thu-duc-nguoi-dan-can-chu-y-1018710.html</x:v>
      </x:c>
      <x:c r="Q6" s="29" t="str">
        <x:v>Pending</x:v>
      </x:c>
    </x:row>
    <x:row r="7">
      <x:c r="A7" s="30" t="str">
        <x:v>FH2025-002</x:v>
      </x:c>
      <x:c r="B7" s="30" t="str">
        <x:v>Đường Quốc Hương</x:v>
      </x:c>
      <x:c r="C7" s="30" t="str">
        <x:v>Thảo Điền</x:v>
      </x:c>
      <x:c r="D7" s="30" t="str">
        <x:v>Tống Hữu Định</x:v>
      </x:c>
      <x:c r="E7" s="30" t="str">
        <x:v>Đường số 65</x:v>
      </x:c>
      <x:c r="F7" s="66"/>
      <x:c r="G7" s="66"/>
      <x:c r="H7" s="66" t="str">
        <x:f>IF(COUNT(F7:G7)=0,"",AVERAGE(F7:G7))</x:f>
      </x:c>
      <x:c r="I7" s="69"/>
      <x:c r="J7" s="69" t="n">
        <x:v>90</x:v>
      </x:c>
      <x:c r="K7" s="30" t="str">
        <x:v>Ngập nhẹ; thời gian ngập kéo dài khoảng 90 phút.</x:v>
      </x:c>
      <x:c r="L7" s="30" t="str">
        <x:v>Rút nước chậm</x:v>
      </x:c>
      <x:c r="M7" s="30" t="str">
        <x:f>IF(G7="","Needs verification",IF(G7&lt;='Assumptions'!$B$6,"Low",IF(G7&lt;='Assumptions'!$B$7,"Medium",IF(G7&lt;='Assumptions'!$B$8,"High","Very high"))))</x:f>
        <x:v>Needs verification</x:v>
      </x:c>
      <x:c r="N7" s="30" t="str">
        <x:v>S03</x:v>
      </x:c>
      <x:c r="O7" s="72" t="n">
        <x:v>45794</x:v>
      </x:c>
      <x:c r="P7" s="30" t="str">
        <x:v>https://ttbc-hcm.gov.vn/24-diem-mua-la-ngap-o-tp-thu-duc-nguoi-dan-can-chu-y-1018710.html</x:v>
      </x:c>
      <x:c r="Q7" s="30" t="str">
        <x:v>Pending</x:v>
      </x:c>
    </x:row>
    <x:row r="8">
      <x:c r="A8" s="30" t="str">
        <x:v>FH2025-003</x:v>
      </x:c>
      <x:c r="B8" s="30" t="str">
        <x:v>Đường Nguyễn Văn Hưởng</x:v>
      </x:c>
      <x:c r="C8" s="30" t="str">
        <x:v>Thảo Điền</x:v>
      </x:c>
      <x:c r="D8" s="30" t="str">
        <x:v>Trước số nhà 170</x:v>
      </x:c>
      <x:c r="E8" s="30"/>
      <x:c r="F8" s="66" t="n">
        <x:v>12</x:v>
      </x:c>
      <x:c r="G8" s="66" t="n">
        <x:v>12</x:v>
      </x:c>
      <x:c r="H8" s="66" t="n">
        <x:f>IF(COUNT(F8:G8)=0,"",AVERAGE(F8:G8))</x:f>
        <x:v>12</x:v>
      </x:c>
      <x:c r="I8" s="69" t="n">
        <x:v>200</x:v>
      </x:c>
      <x:c r="J8" s="69"/>
      <x:c r="K8" s="30" t="str">
        <x:v>Ngập sâu 12 cm; kéo dài 200 m.</x:v>
      </x:c>
      <x:c r="L8" s="30" t="str">
        <x:v>Không nêu</x:v>
      </x:c>
      <x:c r="M8" s="30" t="str">
        <x:f>IF(G8="","Needs verification",IF(G8&lt;='Assumptions'!$B$6,"Low",IF(G8&lt;='Assumptions'!$B$7,"Medium",IF(G8&lt;='Assumptions'!$B$8,"High","Very high"))))</x:f>
        <x:v>Medium</x:v>
      </x:c>
      <x:c r="N8" s="30" t="str">
        <x:v>S03</x:v>
      </x:c>
      <x:c r="O8" s="72" t="n">
        <x:v>45794</x:v>
      </x:c>
      <x:c r="P8" s="30" t="str">
        <x:v>https://ttbc-hcm.gov.vn/24-diem-mua-la-ngap-o-tp-thu-duc-nguoi-dan-can-chu-y-1018710.html</x:v>
      </x:c>
      <x:c r="Q8" s="30" t="str">
        <x:v>Pending</x:v>
      </x:c>
    </x:row>
    <x:row r="9">
      <x:c r="A9" s="30" t="str">
        <x:v>FH2025-004</x:v>
      </x:c>
      <x:c r="B9" s="30" t="str">
        <x:v>Đường Lương Định Của</x:v>
      </x:c>
      <x:c r="C9" s="30" t="str">
        <x:v>An Khánh</x:v>
      </x:c>
      <x:c r="D9" s="30" t="str">
        <x:v>D1</x:v>
      </x:c>
      <x:c r="E9" s="30" t="str">
        <x:v>Đường số 18</x:v>
      </x:c>
      <x:c r="F9" s="66" t="n">
        <x:v>30</x:v>
      </x:c>
      <x:c r="G9" s="66" t="n">
        <x:v>40</x:v>
      </x:c>
      <x:c r="H9" s="66" t="n">
        <x:f>IF(COUNT(F9:G9)=0,"",AVERAGE(F9:G9))</x:f>
        <x:v>35</x:v>
      </x:c>
      <x:c r="I9" s="69" t="n">
        <x:v>640</x:v>
      </x:c>
      <x:c r="J9" s="69"/>
      <x:c r="K9" s="30" t="str">
        <x:v>Ngập diện rộng; sâu 30-40 cm; kéo dài 640 m.</x:v>
      </x:c>
      <x:c r="L9" s="30" t="str">
        <x:v>Không nêu</x:v>
      </x:c>
      <x:c r="M9" s="30" t="str">
        <x:f>IF(G9="","Needs verification",IF(G9&lt;='Assumptions'!$B$6,"Low",IF(G9&lt;='Assumptions'!$B$7,"Medium",IF(G9&lt;='Assumptions'!$B$8,"High","Very high"))))</x:f>
        <x:v>Very high</x:v>
      </x:c>
      <x:c r="N9" s="30" t="str">
        <x:v>S03</x:v>
      </x:c>
      <x:c r="O9" s="72" t="n">
        <x:v>45794</x:v>
      </x:c>
      <x:c r="P9" s="30" t="str">
        <x:v>https://ttbc-hcm.gov.vn/24-diem-mua-la-ngap-o-tp-thu-duc-nguoi-dan-can-chu-y-1018710.html</x:v>
      </x:c>
      <x:c r="Q9" s="30" t="str">
        <x:v>Pending</x:v>
      </x:c>
    </x:row>
    <x:row r="10">
      <x:c r="A10" s="30" t="str">
        <x:v>FH2025-005</x:v>
      </x:c>
      <x:c r="B10" s="30" t="str">
        <x:v>Quốc lộ 1 - Tỉnh lộ 43 - Lê Thị Hoa</x:v>
      </x:c>
      <x:c r="C10" s="30" t="str">
        <x:v>Bình Chiểu</x:v>
      </x:c>
      <x:c r="D10" s="30" t="str">
        <x:v>Cầu vượt Linh Xuân</x:v>
      </x:c>
      <x:c r="E10" s="30" t="str">
        <x:v>Giao lộ Tỉnh lộ 43 và Quốc lộ 1</x:v>
      </x:c>
      <x:c r="F10" s="66"/>
      <x:c r="G10" s="66"/>
      <x:c r="H10" s="66" t="str">
        <x:f>IF(COUNT(F10:G10)=0,"",AVERAGE(F10:G10))</x:f>
      </x:c>
      <x:c r="I10" s="69" t="n">
        <x:v>1500</x:v>
      </x:c>
      <x:c r="J10" s="69"/>
      <x:c r="K10" s="30" t="str">
        <x:v>Ngập diện rộng; phạm vi ảnh hưởng khoảng 1.500 m.</x:v>
      </x:c>
      <x:c r="L10" s="30" t="str">
        <x:v>Không nêu</x:v>
      </x:c>
      <x:c r="M10" s="30" t="str">
        <x:f>IF(G10="","Needs verification",IF(G10&lt;='Assumptions'!$B$6,"Low",IF(G10&lt;='Assumptions'!$B$7,"Medium",IF(G10&lt;='Assumptions'!$B$8,"High","Very high"))))</x:f>
        <x:v>Needs verification</x:v>
      </x:c>
      <x:c r="N10" s="30" t="str">
        <x:v>S03</x:v>
      </x:c>
      <x:c r="O10" s="72" t="n">
        <x:v>45794</x:v>
      </x:c>
      <x:c r="P10" s="30" t="str">
        <x:v>https://ttbc-hcm.gov.vn/24-diem-mua-la-ngap-o-tp-thu-duc-nguoi-dan-can-chu-y-1018710.html</x:v>
      </x:c>
      <x:c r="Q10" s="30" t="str">
        <x:v>Pending</x:v>
      </x:c>
    </x:row>
    <x:row r="11">
      <x:c r="A11" s="30" t="str">
        <x:v>FH2025-006</x:v>
      </x:c>
      <x:c r="B11" s="30" t="str">
        <x:v>Đường Kha Vạn Cân</x:v>
      </x:c>
      <x:c r="C11" s="30" t="str">
        <x:v>Hiệp Bình Chánh</x:v>
      </x:c>
      <x:c r="D11" s="30" t="str">
        <x:v>Quốc lộ 13</x:v>
      </x:c>
      <x:c r="E11" s="30" t="str">
        <x:v>Phạm Văn Đồng</x:v>
      </x:c>
      <x:c r="F11" s="66"/>
      <x:c r="G11" s="66"/>
      <x:c r="H11" s="66" t="str">
        <x:f>IF(COUNT(F11:G11)=0,"",AVERAGE(F11:G11))</x:f>
      </x:c>
      <x:c r="I11" s="69" t="n">
        <x:v>1100</x:v>
      </x:c>
      <x:c r="J11" s="69"/>
      <x:c r="K11" s="30" t="str">
        <x:v>Ngập nhẹ nhưng kéo dài đến 1.100 m.</x:v>
      </x:c>
      <x:c r="L11" s="30" t="str">
        <x:v>Không nêu</x:v>
      </x:c>
      <x:c r="M11" s="30" t="str">
        <x:f>IF(G11="","Needs verification",IF(G11&lt;='Assumptions'!$B$6,"Low",IF(G11&lt;='Assumptions'!$B$7,"Medium",IF(G11&lt;='Assumptions'!$B$8,"High","Very high"))))</x:f>
        <x:v>Needs verification</x:v>
      </x:c>
      <x:c r="N11" s="30" t="str">
        <x:v>S03</x:v>
      </x:c>
      <x:c r="O11" s="72" t="n">
        <x:v>45794</x:v>
      </x:c>
      <x:c r="P11" s="30" t="str">
        <x:v>https://ttbc-hcm.gov.vn/24-diem-mua-la-ngap-o-tp-thu-duc-nguoi-dan-can-chu-y-1018710.html</x:v>
      </x:c>
      <x:c r="Q11" s="30" t="str">
        <x:v>Pending</x:v>
      </x:c>
    </x:row>
    <x:row r="12">
      <x:c r="A12" s="30" t="str">
        <x:v>FH2025-007</x:v>
      </x:c>
      <x:c r="B12" s="30" t="str">
        <x:v>Đường Dương Văn Cam</x:v>
      </x:c>
      <x:c r="C12" s="30" t="str">
        <x:v>Linh Tây</x:v>
      </x:c>
      <x:c r="D12" s="30" t="str">
        <x:v>Lê Văn Ninh</x:v>
      </x:c>
      <x:c r="E12" s="30" t="str">
        <x:v>Phạm Văn Đồng</x:v>
      </x:c>
      <x:c r="F12" s="66"/>
      <x:c r="G12" s="66"/>
      <x:c r="H12" s="66" t="str">
        <x:f>IF(COUNT(F12:G12)=0,"",AVERAGE(F12:G12))</x:f>
      </x:c>
      <x:c r="I12" s="69" t="n">
        <x:v>250</x:v>
      </x:c>
      <x:c r="J12" s="69" t="n">
        <x:v>30</x:v>
      </x:c>
      <x:c r="K12" s="30" t="str">
        <x:v>Đoạn ảnh hưởng dài 250 m; rút nước khoảng 30 phút.</x:v>
      </x:c>
      <x:c r="L12" s="30" t="str">
        <x:v>Không nêu</x:v>
      </x:c>
      <x:c r="M12" s="30" t="str">
        <x:f>IF(G12="","Needs verification",IF(G12&lt;='Assumptions'!$B$6,"Low",IF(G12&lt;='Assumptions'!$B$7,"Medium",IF(G12&lt;='Assumptions'!$B$8,"High","Very high"))))</x:f>
        <x:v>Needs verification</x:v>
      </x:c>
      <x:c r="N12" s="30" t="str">
        <x:v>S03</x:v>
      </x:c>
      <x:c r="O12" s="72" t="n">
        <x:v>45794</x:v>
      </x:c>
      <x:c r="P12" s="30" t="str">
        <x:v>https://ttbc-hcm.gov.vn/24-diem-mua-la-ngap-o-tp-thu-duc-nguoi-dan-can-chu-y-1018710.html</x:v>
      </x:c>
      <x:c r="Q12" s="30" t="str">
        <x:v>Pending</x:v>
      </x:c>
    </x:row>
    <x:row r="13">
      <x:c r="A13" s="30" t="str">
        <x:v>FH2025-008</x:v>
      </x:c>
      <x:c r="B13" s="30" t="str">
        <x:v>Đường Đặng Văn Bi</x:v>
      </x:c>
      <x:c r="C13" s="30" t="str">
        <x:v>Linh Tây</x:v>
      </x:c>
      <x:c r="D13" s="30" t="str">
        <x:v>Tô Ngọc Vân</x:v>
      </x:c>
      <x:c r="E13" s="30" t="str">
        <x:v>Dương Văn Cam</x:v>
      </x:c>
      <x:c r="F13" s="66"/>
      <x:c r="G13" s="66"/>
      <x:c r="H13" s="66" t="str">
        <x:f>IF(COUNT(F13:G13)=0,"",AVERAGE(F13:G13))</x:f>
      </x:c>
      <x:c r="I13" s="69"/>
      <x:c r="J13" s="69"/>
      <x:c r="K13" s="30" t="str">
        <x:v>Hay ngập sau mưa lớn.</x:v>
      </x:c>
      <x:c r="L13" s="30" t="str">
        <x:v>Không nêu</x:v>
      </x:c>
      <x:c r="M13" s="30" t="str">
        <x:f>IF(G13="","Needs verification",IF(G13&lt;='Assumptions'!$B$6,"Low",IF(G13&lt;='Assumptions'!$B$7,"Medium",IF(G13&lt;='Assumptions'!$B$8,"High","Very high"))))</x:f>
        <x:v>Needs verification</x:v>
      </x:c>
      <x:c r="N13" s="30" t="str">
        <x:v>S03</x:v>
      </x:c>
      <x:c r="O13" s="72" t="n">
        <x:v>45794</x:v>
      </x:c>
      <x:c r="P13" s="30" t="str">
        <x:v>https://ttbc-hcm.gov.vn/24-diem-mua-la-ngap-o-tp-thu-duc-nguoi-dan-can-chu-y-1018710.html</x:v>
      </x:c>
      <x:c r="Q13" s="30" t="str">
        <x:v>Pending</x:v>
      </x:c>
    </x:row>
    <x:row r="14">
      <x:c r="A14" s="30" t="str">
        <x:v>FH2025-009</x:v>
      </x:c>
      <x:c r="B14" s="30" t="str">
        <x:v>Đường Lê Văn Việt</x:v>
      </x:c>
      <x:c r="C14" s="30" t="str">
        <x:v>Hiệp Phú - Tăng Nhơn Phú A</x:v>
      </x:c>
      <x:c r="D14" s="30" t="str">
        <x:v>Đường Bình Phú</x:v>
      </x:c>
      <x:c r="E14" s="30" t="str">
        <x:v>Lã Xuân Oai</x:v>
      </x:c>
      <x:c r="F14" s="66" t="n">
        <x:v>20</x:v>
      </x:c>
      <x:c r="G14" s="66" t="n">
        <x:v>20</x:v>
      </x:c>
      <x:c r="H14" s="66" t="n">
        <x:f>IF(COUNT(F14:G14)=0,"",AVERAGE(F14:G14))</x:f>
        <x:v>20</x:v>
      </x:c>
      <x:c r="I14" s="69" t="n">
        <x:v>550</x:v>
      </x:c>
      <x:c r="J14" s="69"/>
      <x:c r="K14" s="30" t="str">
        <x:v>Đoạn ngập dài 550 m; sâu khoảng 0,2 m.</x:v>
      </x:c>
      <x:c r="L14" s="30" t="str">
        <x:v>Không nêu</x:v>
      </x:c>
      <x:c r="M14" s="30" t="str">
        <x:f>IF(G14="","Needs verification",IF(G14&lt;='Assumptions'!$B$6,"Low",IF(G14&lt;='Assumptions'!$B$7,"Medium",IF(G14&lt;='Assumptions'!$B$8,"High","Very high"))))</x:f>
        <x:v>Medium</x:v>
      </x:c>
      <x:c r="N14" s="30" t="str">
        <x:v>S03</x:v>
      </x:c>
      <x:c r="O14" s="72" t="n">
        <x:v>45794</x:v>
      </x:c>
      <x:c r="P14" s="30" t="str">
        <x:v>https://ttbc-hcm.gov.vn/24-diem-mua-la-ngap-o-tp-thu-duc-nguoi-dan-can-chu-y-1018710.html</x:v>
      </x:c>
      <x:c r="Q14" s="30" t="str">
        <x:v>Pending</x:v>
      </x:c>
    </x:row>
    <x:row r="15">
      <x:c r="A15" s="30" t="str">
        <x:v>FH2025-010</x:v>
      </x:c>
      <x:c r="B15" s="30" t="str">
        <x:v>Đường Lã Xuân Oai</x:v>
      </x:c>
      <x:c r="C15" s="30" t="str">
        <x:v>Tăng Nhơn Phú A</x:v>
      </x:c>
      <x:c r="D15" s="30" t="str">
        <x:v>Lê Văn Việt</x:v>
      </x:c>
      <x:c r="E15" s="30" t="str">
        <x:v>Đường 102</x:v>
      </x:c>
      <x:c r="F15" s="66"/>
      <x:c r="G15" s="66"/>
      <x:c r="H15" s="66" t="str">
        <x:f>IF(COUNT(F15:G15)=0,"",AVERAGE(F15:G15))</x:f>
      </x:c>
      <x:c r="I15" s="69" t="n">
        <x:v>350</x:v>
      </x:c>
      <x:c r="J15" s="69"/>
      <x:c r="K15" s="30" t="str">
        <x:v>Khu vực dễ ngập do trũng; dài 350 m.</x:v>
      </x:c>
      <x:c r="L15" s="30" t="str">
        <x:v>Địa hình trũng</x:v>
      </x:c>
      <x:c r="M15" s="30" t="str">
        <x:f>IF(G15="","Needs verification",IF(G15&lt;='Assumptions'!$B$6,"Low",IF(G15&lt;='Assumptions'!$B$7,"Medium",IF(G15&lt;='Assumptions'!$B$8,"High","Very high"))))</x:f>
        <x:v>Needs verification</x:v>
      </x:c>
      <x:c r="N15" s="30" t="str">
        <x:v>S03</x:v>
      </x:c>
      <x:c r="O15" s="72" t="n">
        <x:v>45794</x:v>
      </x:c>
      <x:c r="P15" s="30" t="str">
        <x:v>https://ttbc-hcm.gov.vn/24-diem-mua-la-ngap-o-tp-thu-duc-nguoi-dan-can-chu-y-1018710.html</x:v>
      </x:c>
      <x:c r="Q15" s="30" t="str">
        <x:v>Pending</x:v>
      </x:c>
    </x:row>
    <x:row r="16">
      <x:c r="A16" s="30" t="str">
        <x:v>FH2025-011</x:v>
      </x:c>
      <x:c r="B16" s="30" t="str">
        <x:v>Đường Đỗ Xuân Hợp</x:v>
      </x:c>
      <x:c r="C16" s="30" t="str">
        <x:v>Phước Bình - Phước Long B</x:v>
      </x:c>
      <x:c r="D16" s="30" t="str">
        <x:v>Đường 8</x:v>
      </x:c>
      <x:c r="E16" s="30" t="str">
        <x:v>Đường 9</x:v>
      </x:c>
      <x:c r="F16" s="66" t="n">
        <x:v>40</x:v>
      </x:c>
      <x:c r="G16" s="66" t="n">
        <x:v>40</x:v>
      </x:c>
      <x:c r="H16" s="66" t="n">
        <x:f>IF(COUNT(F16:G16)=0,"",AVERAGE(F16:G16))</x:f>
        <x:v>40</x:v>
      </x:c>
      <x:c r="I16" s="69" t="n">
        <x:v>700</x:v>
      </x:c>
      <x:c r="J16" s="69"/>
      <x:c r="K16" s="30" t="str">
        <x:v>Đoạn ngập dài 700 m; sâu đến 0,4 m.</x:v>
      </x:c>
      <x:c r="L16" s="30" t="str">
        <x:v>Không nêu</x:v>
      </x:c>
      <x:c r="M16" s="30" t="str">
        <x:f>IF(G16="","Needs verification",IF(G16&lt;='Assumptions'!$B$6,"Low",IF(G16&lt;='Assumptions'!$B$7,"Medium",IF(G16&lt;='Assumptions'!$B$8,"High","Very high"))))</x:f>
        <x:v>Very high</x:v>
      </x:c>
      <x:c r="N16" s="30" t="str">
        <x:v>S03</x:v>
      </x:c>
      <x:c r="O16" s="72" t="n">
        <x:v>45794</x:v>
      </x:c>
      <x:c r="P16" s="30" t="str">
        <x:v>https://ttbc-hcm.gov.vn/24-diem-mua-la-ngap-o-tp-thu-duc-nguoi-dan-can-chu-y-1018710.html</x:v>
      </x:c>
      <x:c r="Q16" s="30" t="str">
        <x:v>Pending</x:v>
      </x:c>
    </x:row>
    <x:row r="17">
      <x:c r="A17" s="30" t="str">
        <x:v>FH2025-012</x:v>
      </x:c>
      <x:c r="B17" s="30" t="str">
        <x:v>Quốc lộ 13</x:v>
      </x:c>
      <x:c r="C17" s="30" t="str">
        <x:v>Hiệp Bình Phước</x:v>
      </x:c>
      <x:c r="D17" s="30" t="str">
        <x:v>Quốc lộ 1</x:v>
      </x:c>
      <x:c r="E17" s="30" t="str">
        <x:v>Quốc lộ 13, khu phố 1.3</x:v>
      </x:c>
      <x:c r="F17" s="66"/>
      <x:c r="G17" s="66"/>
      <x:c r="H17" s="66" t="str">
        <x:f>IF(COUNT(F17:G17)=0,"",AVERAGE(F17:G17))</x:f>
      </x:c>
      <x:c r="I17" s="69" t="n">
        <x:v>600</x:v>
      </x:c>
      <x:c r="J17" s="69"/>
      <x:c r="K17" s="30" t="str">
        <x:v>Ngập nhẹ nhưng kéo dài 600 m.</x:v>
      </x:c>
      <x:c r="L17" s="30" t="str">
        <x:v>Không nêu</x:v>
      </x:c>
      <x:c r="M17" s="30" t="str">
        <x:f>IF(G17="","Needs verification",IF(G17&lt;='Assumptions'!$B$6,"Low",IF(G17&lt;='Assumptions'!$B$7,"Medium",IF(G17&lt;='Assumptions'!$B$8,"High","Very high"))))</x:f>
        <x:v>Needs verification</x:v>
      </x:c>
      <x:c r="N17" s="30" t="str">
        <x:v>S03</x:v>
      </x:c>
      <x:c r="O17" s="72" t="n">
        <x:v>45794</x:v>
      </x:c>
      <x:c r="P17" s="30" t="str">
        <x:v>https://ttbc-hcm.gov.vn/24-diem-mua-la-ngap-o-tp-thu-duc-nguoi-dan-can-chu-y-1018710.html</x:v>
      </x:c>
      <x:c r="Q17" s="30" t="str">
        <x:v>Pending</x:v>
      </x:c>
    </x:row>
    <x:row r="18">
      <x:c r="A18" s="30" t="str">
        <x:v>FH2025-013</x:v>
      </x:c>
      <x:c r="B18" s="30" t="str">
        <x:v>Đường số 12</x:v>
      </x:c>
      <x:c r="C18" s="30" t="str">
        <x:v>An Khánh</x:v>
      </x:c>
      <x:c r="D18" s="30" t="str">
        <x:v>Trần Não</x:v>
      </x:c>
      <x:c r="E18" s="30" t="str">
        <x:v>Dự án khu nhà ở Công ty CP Caric</x:v>
      </x:c>
      <x:c r="F18" s="66" t="n">
        <x:v>30</x:v>
      </x:c>
      <x:c r="G18" s="66" t="n">
        <x:v>30</x:v>
      </x:c>
      <x:c r="H18" s="66" t="n">
        <x:f>IF(COUNT(F18:G18)=0,"",AVERAGE(F18:G18))</x:f>
        <x:v>30</x:v>
      </x:c>
      <x:c r="I18" s="69" t="n">
        <x:v>200</x:v>
      </x:c>
      <x:c r="J18" s="69"/>
      <x:c r="K18" s="30" t="str">
        <x:v>Đoạn ngập dài 200 m; sâu 0,3 m.</x:v>
      </x:c>
      <x:c r="L18" s="30" t="str">
        <x:v>Không nêu</x:v>
      </x:c>
      <x:c r="M18" s="30" t="str">
        <x:f>IF(G18="","Needs verification",IF(G18&lt;='Assumptions'!$B$6,"Low",IF(G18&lt;='Assumptions'!$B$7,"Medium",IF(G18&lt;='Assumptions'!$B$8,"High","Very high"))))</x:f>
        <x:v>High</x:v>
      </x:c>
      <x:c r="N18" s="30" t="str">
        <x:v>S03</x:v>
      </x:c>
      <x:c r="O18" s="72" t="n">
        <x:v>45794</x:v>
      </x:c>
      <x:c r="P18" s="30" t="str">
        <x:v>https://ttbc-hcm.gov.vn/24-diem-mua-la-ngap-o-tp-thu-duc-nguoi-dan-can-chu-y-1018710.html</x:v>
      </x:c>
      <x:c r="Q18" s="30" t="str">
        <x:v>Pending</x:v>
      </x:c>
    </x:row>
    <x:row r="19">
      <x:c r="A19" s="30" t="str">
        <x:v>FH2025-014</x:v>
      </x:c>
      <x:c r="B19" s="30" t="str">
        <x:v>Hẻm 789</x:v>
      </x:c>
      <x:c r="C19" s="30" t="str">
        <x:v>Tam Bình</x:v>
      </x:c>
      <x:c r="D19" s="30" t="str">
        <x:v>Đường song hành Quốc lộ 1</x:v>
      </x:c>
      <x:c r="E19" s="30" t="str">
        <x:v>Chợ nông sản Thủ Đức</x:v>
      </x:c>
      <x:c r="F19" s="66" t="n">
        <x:v>20</x:v>
      </x:c>
      <x:c r="G19" s="66" t="n">
        <x:v>20</x:v>
      </x:c>
      <x:c r="H19" s="66" t="n">
        <x:f>IF(COUNT(F19:G19)=0,"",AVERAGE(F19:G19))</x:f>
        <x:v>20</x:v>
      </x:c>
      <x:c r="I19" s="69" t="n">
        <x:v>140</x:v>
      </x:c>
      <x:c r="J19" s="69"/>
      <x:c r="K19" s="30" t="str">
        <x:v>Đoạn ngập dài 140 m; sâu 0,2 m.</x:v>
      </x:c>
      <x:c r="L19" s="30" t="str">
        <x:v>Không nêu</x:v>
      </x:c>
      <x:c r="M19" s="30" t="str">
        <x:f>IF(G19="","Needs verification",IF(G19&lt;='Assumptions'!$B$6,"Low",IF(G19&lt;='Assumptions'!$B$7,"Medium",IF(G19&lt;='Assumptions'!$B$8,"High","Very high"))))</x:f>
        <x:v>Medium</x:v>
      </x:c>
      <x:c r="N19" s="30" t="str">
        <x:v>S03</x:v>
      </x:c>
      <x:c r="O19" s="72" t="n">
        <x:v>45794</x:v>
      </x:c>
      <x:c r="P19" s="30" t="str">
        <x:v>https://ttbc-hcm.gov.vn/24-diem-mua-la-ngap-o-tp-thu-duc-nguoi-dan-can-chu-y-1018710.html</x:v>
      </x:c>
      <x:c r="Q19" s="30" t="str">
        <x:v>Pending</x:v>
      </x:c>
    </x:row>
    <x:row r="20">
      <x:c r="A20" s="30" t="str">
        <x:v>FH2025-015</x:v>
      </x:c>
      <x:c r="B20" s="30" t="str">
        <x:v>Hẻm 95, đường Võ Văn Ngân</x:v>
      </x:c>
      <x:c r="C20" s="30" t="str">
        <x:v>Linh Chiểu</x:v>
      </x:c>
      <x:c r="D20" s="30" t="str">
        <x:v>Nhà số 95/26</x:v>
      </x:c>
      <x:c r="E20" s="30" t="str">
        <x:v>Cuối hẻm</x:v>
      </x:c>
      <x:c r="F20" s="66"/>
      <x:c r="G20" s="66"/>
      <x:c r="H20" s="66" t="str">
        <x:f>IF(COUNT(F20:G20)=0,"",AVERAGE(F20:G20))</x:f>
      </x:c>
      <x:c r="I20" s="69" t="n">
        <x:v>40</x:v>
      </x:c>
      <x:c r="J20" s="69"/>
      <x:c r="K20" s="30" t="str">
        <x:v>Đoạn dài 40 m; không có thoát nước.</x:v>
      </x:c>
      <x:c r="L20" s="30" t="str">
        <x:v>Không có hệ thống thoát nước</x:v>
      </x:c>
      <x:c r="M20" s="30" t="str">
        <x:f>IF(G20="","Needs verification",IF(G20&lt;='Assumptions'!$B$6,"Low",IF(G20&lt;='Assumptions'!$B$7,"Medium",IF(G20&lt;='Assumptions'!$B$8,"High","Very high"))))</x:f>
        <x:v>Needs verification</x:v>
      </x:c>
      <x:c r="N20" s="30" t="str">
        <x:v>S03</x:v>
      </x:c>
      <x:c r="O20" s="72" t="n">
        <x:v>45794</x:v>
      </x:c>
      <x:c r="P20" s="30" t="str">
        <x:v>https://ttbc-hcm.gov.vn/24-diem-mua-la-ngap-o-tp-thu-duc-nguoi-dan-can-chu-y-1018710.html</x:v>
      </x:c>
      <x:c r="Q20" s="30" t="str">
        <x:v>Pending</x:v>
      </x:c>
    </x:row>
    <x:row r="21">
      <x:c r="A21" s="30" t="str">
        <x:v>FH2025-016</x:v>
      </x:c>
      <x:c r="B21" s="30" t="str">
        <x:v>Hẻm 606 Quốc lộ 13</x:v>
      </x:c>
      <x:c r="C21" s="30" t="str">
        <x:v>Hiệp Bình Phước</x:v>
      </x:c>
      <x:c r="D21" s="30" t="str">
        <x:v>Giáp dự án Hồng Long</x:v>
      </x:c>
      <x:c r="E21" s="30"/>
      <x:c r="F21" s="66"/>
      <x:c r="G21" s="66"/>
      <x:c r="H21" s="66" t="str">
        <x:f>IF(COUNT(F21:G21)=0,"",AVERAGE(F21:G21))</x:f>
      </x:c>
      <x:c r="I21" s="69" t="n">
        <x:v>100</x:v>
      </x:c>
      <x:c r="J21" s="69"/>
      <x:c r="K21" s="30" t="str">
        <x:v>Đoạn dài 100 m; không có hệ thống cống.</x:v>
      </x:c>
      <x:c r="L21" s="30" t="str">
        <x:v>Không có hệ thống cống</x:v>
      </x:c>
      <x:c r="M21" s="30" t="str">
        <x:f>IF(G21="","Needs verification",IF(G21&lt;='Assumptions'!$B$6,"Low",IF(G21&lt;='Assumptions'!$B$7,"Medium",IF(G21&lt;='Assumptions'!$B$8,"High","Very high"))))</x:f>
        <x:v>Needs verification</x:v>
      </x:c>
      <x:c r="N21" s="30" t="str">
        <x:v>S03</x:v>
      </x:c>
      <x:c r="O21" s="72" t="n">
        <x:v>45794</x:v>
      </x:c>
      <x:c r="P21" s="30" t="str">
        <x:v>https://ttbc-hcm.gov.vn/24-diem-mua-la-ngap-o-tp-thu-duc-nguoi-dan-can-chu-y-1018710.html</x:v>
      </x:c>
      <x:c r="Q21" s="30" t="str">
        <x:v>Pending</x:v>
      </x:c>
    </x:row>
    <x:row r="22">
      <x:c r="A22" s="30" t="str">
        <x:v>FH2025-017</x:v>
      </x:c>
      <x:c r="B22" s="30" t="str">
        <x:v>Đường 22</x:v>
      </x:c>
      <x:c r="C22" s="30" t="str">
        <x:v>Linh Đông</x:v>
      </x:c>
      <x:c r="D22" s="30" t="str">
        <x:v>Đường 22</x:v>
      </x:c>
      <x:c r="E22" s="30" t="str">
        <x:v>Đường Linh Đông</x:v>
      </x:c>
      <x:c r="F22" s="66"/>
      <x:c r="G22" s="66"/>
      <x:c r="H22" s="66" t="str">
        <x:f>IF(COUNT(F22:G22)=0,"",AVERAGE(F22:G22))</x:f>
      </x:c>
      <x:c r="I22" s="69" t="n">
        <x:v>400</x:v>
      </x:c>
      <x:c r="J22" s="69"/>
      <x:c r="K22" s="30" t="str">
        <x:v>Đoạn dài 400 m; rút chậm sau mưa.</x:v>
      </x:c>
      <x:c r="L22" s="30" t="str">
        <x:v>Rút nước chậm</x:v>
      </x:c>
      <x:c r="M22" s="30" t="str">
        <x:f>IF(G22="","Needs verification",IF(G22&lt;='Assumptions'!$B$6,"Low",IF(G22&lt;='Assumptions'!$B$7,"Medium",IF(G22&lt;='Assumptions'!$B$8,"High","Very high"))))</x:f>
        <x:v>Needs verification</x:v>
      </x:c>
      <x:c r="N22" s="30" t="str">
        <x:v>S03</x:v>
      </x:c>
      <x:c r="O22" s="72" t="n">
        <x:v>45794</x:v>
      </x:c>
      <x:c r="P22" s="30" t="str">
        <x:v>https://ttbc-hcm.gov.vn/24-diem-mua-la-ngap-o-tp-thu-duc-nguoi-dan-can-chu-y-1018710.html</x:v>
      </x:c>
      <x:c r="Q22" s="30" t="str">
        <x:v>Pending</x:v>
      </x:c>
    </x:row>
    <x:row r="23">
      <x:c r="A23" s="30" t="str">
        <x:v>FH2025-018</x:v>
      </x:c>
      <x:c r="B23" s="30" t="str">
        <x:v>Đường số 6</x:v>
      </x:c>
      <x:c r="C23" s="30" t="str">
        <x:v>Linh Tây</x:v>
      </x:c>
      <x:c r="D23" s="30" t="str">
        <x:v>Vân Canh</x:v>
      </x:c>
      <x:c r="E23" s="30" t="str">
        <x:v>Cuối tuyến</x:v>
      </x:c>
      <x:c r="F23" s="66"/>
      <x:c r="G23" s="66"/>
      <x:c r="H23" s="66" t="str">
        <x:f>IF(COUNT(F23:G23)=0,"",AVERAGE(F23:G23))</x:f>
      </x:c>
      <x:c r="I23" s="69" t="n">
        <x:v>600</x:v>
      </x:c>
      <x:c r="J23" s="69"/>
      <x:c r="K23" s="30" t="str">
        <x:v>Đoạn dài 600 m; ngập do nước dồn từ vùng cao.</x:v>
      </x:c>
      <x:c r="L23" s="30" t="str">
        <x:v>Nước dồn từ vùng cao</x:v>
      </x:c>
      <x:c r="M23" s="30" t="str">
        <x:f>IF(G23="","Needs verification",IF(G23&lt;='Assumptions'!$B$6,"Low",IF(G23&lt;='Assumptions'!$B$7,"Medium",IF(G23&lt;='Assumptions'!$B$8,"High","Very high"))))</x:f>
        <x:v>Needs verification</x:v>
      </x:c>
      <x:c r="N23" s="30" t="str">
        <x:v>S03</x:v>
      </x:c>
      <x:c r="O23" s="72" t="n">
        <x:v>45794</x:v>
      </x:c>
      <x:c r="P23" s="30" t="str">
        <x:v>https://ttbc-hcm.gov.vn/24-diem-mua-la-ngap-o-tp-thu-duc-nguoi-dan-can-chu-y-1018710.html</x:v>
      </x:c>
      <x:c r="Q23" s="30" t="str">
        <x:v>Pending</x:v>
      </x:c>
    </x:row>
    <x:row r="24">
      <x:c r="A24" s="30" t="str">
        <x:v>FH2025-019</x:v>
      </x:c>
      <x:c r="B24" s="30" t="str">
        <x:v>Đường Cầu Xây</x:v>
      </x:c>
      <x:c r="C24" s="30" t="str">
        <x:v>Phước Long A</x:v>
      </x:c>
      <x:c r="D24" s="30" t="str">
        <x:v>Hẻm 41</x:v>
      </x:c>
      <x:c r="E24" s="30" t="str">
        <x:v>Hẻm 15</x:v>
      </x:c>
      <x:c r="F24" s="66"/>
      <x:c r="G24" s="66"/>
      <x:c r="H24" s="66" t="str">
        <x:f>IF(COUNT(F24:G24)=0,"",AVERAGE(F24:G24))</x:f>
      </x:c>
      <x:c r="I24" s="69"/>
      <x:c r="J24" s="69"/>
      <x:c r="K24" s="30" t="str">
        <x:v>Ngập cục bộ; thường xuyên tắc nghẽn.</x:v>
      </x:c>
      <x:c r="L24" s="30" t="str">
        <x:v>Ngập cục bộ</x:v>
      </x:c>
      <x:c r="M24" s="30" t="str">
        <x:f>IF(G24="","Needs verification",IF(G24&lt;='Assumptions'!$B$6,"Low",IF(G24&lt;='Assumptions'!$B$7,"Medium",IF(G24&lt;='Assumptions'!$B$8,"High","Very high"))))</x:f>
        <x:v>Needs verification</x:v>
      </x:c>
      <x:c r="N24" s="30" t="str">
        <x:v>S03</x:v>
      </x:c>
      <x:c r="O24" s="72" t="n">
        <x:v>45794</x:v>
      </x:c>
      <x:c r="P24" s="30" t="str">
        <x:v>https://ttbc-hcm.gov.vn/24-diem-mua-la-ngap-o-tp-thu-duc-nguoi-dan-can-chu-y-1018710.html</x:v>
      </x:c>
      <x:c r="Q24" s="30" t="str">
        <x:v>Pending</x:v>
      </x:c>
    </x:row>
    <x:row r="25">
      <x:c r="A25" s="30" t="str">
        <x:v>FH2025-020</x:v>
      </x:c>
      <x:c r="B25" s="30" t="str">
        <x:v>Hẻm 384 Phạm Văn Đồng</x:v>
      </x:c>
      <x:c r="C25" s="30" t="str">
        <x:v>Hiệp Bình Chánh</x:v>
      </x:c>
      <x:c r="D25" s="30" t="str">
        <x:v>Phạm Văn Đồng</x:v>
      </x:c>
      <x:c r="E25" s="30" t="str">
        <x:v>Đường 26</x:v>
      </x:c>
      <x:c r="F25" s="66" t="n">
        <x:v>30</x:v>
      </x:c>
      <x:c r="G25" s="66" t="n">
        <x:v>30</x:v>
      </x:c>
      <x:c r="H25" s="66" t="n">
        <x:f>IF(COUNT(F25:G25)=0,"",AVERAGE(F25:G25))</x:f>
        <x:v>30</x:v>
      </x:c>
      <x:c r="I25" s="69" t="n">
        <x:v>160</x:v>
      </x:c>
      <x:c r="J25" s="69"/>
      <x:c r="K25" s="30" t="str">
        <x:v>Đoạn dài 160 m; ngập cục bộ khoảng 30 cm.</x:v>
      </x:c>
      <x:c r="L25" s="30" t="str">
        <x:v>Ngập cục bộ</x:v>
      </x:c>
      <x:c r="M25" s="30" t="str">
        <x:f>IF(G25="","Needs verification",IF(G25&lt;='Assumptions'!$B$6,"Low",IF(G25&lt;='Assumptions'!$B$7,"Medium",IF(G25&lt;='Assumptions'!$B$8,"High","Very high"))))</x:f>
        <x:v>High</x:v>
      </x:c>
      <x:c r="N25" s="30" t="str">
        <x:v>S03</x:v>
      </x:c>
      <x:c r="O25" s="72" t="n">
        <x:v>45794</x:v>
      </x:c>
      <x:c r="P25" s="30" t="str">
        <x:v>https://ttbc-hcm.gov.vn/24-diem-mua-la-ngap-o-tp-thu-duc-nguoi-dan-can-chu-y-1018710.html</x:v>
      </x:c>
      <x:c r="Q25" s="30" t="str">
        <x:v>Pending</x:v>
      </x:c>
    </x:row>
    <x:row r="26">
      <x:c r="A26" s="30" t="str">
        <x:v>FH2025-021</x:v>
      </x:c>
      <x:c r="B26" s="30" t="str">
        <x:v>Đường số 8</x:v>
      </x:c>
      <x:c r="C26" s="30" t="str">
        <x:v>Long Bình</x:v>
      </x:c>
      <x:c r="D26" s="30" t="str">
        <x:v>Đường số 6</x:v>
      </x:c>
      <x:c r="E26" s="30" t="str">
        <x:v>Cuối tuyến</x:v>
      </x:c>
      <x:c r="F26" s="66"/>
      <x:c r="G26" s="66"/>
      <x:c r="H26" s="66" t="str">
        <x:f>IF(COUNT(F26:G26)=0,"",AVERAGE(F26:G26))</x:f>
      </x:c>
      <x:c r="I26" s="69" t="n">
        <x:v>200</x:v>
      </x:c>
      <x:c r="J26" s="69"/>
      <x:c r="K26" s="30" t="str">
        <x:v>Đoạn dài 200 m; không có cống thoát nước.</x:v>
      </x:c>
      <x:c r="L26" s="30" t="str">
        <x:v>Không có cống thoát nước</x:v>
      </x:c>
      <x:c r="M26" s="30" t="str">
        <x:f>IF(G26="","Needs verification",IF(G26&lt;='Assumptions'!$B$6,"Low",IF(G26&lt;='Assumptions'!$B$7,"Medium",IF(G26&lt;='Assumptions'!$B$8,"High","Very high"))))</x:f>
        <x:v>Needs verification</x:v>
      </x:c>
      <x:c r="N26" s="30" t="str">
        <x:v>S03</x:v>
      </x:c>
      <x:c r="O26" s="72" t="n">
        <x:v>45794</x:v>
      </x:c>
      <x:c r="P26" s="30" t="str">
        <x:v>https://ttbc-hcm.gov.vn/24-diem-mua-la-ngap-o-tp-thu-duc-nguoi-dan-can-chu-y-1018710.html</x:v>
      </x:c>
      <x:c r="Q26" s="30" t="str">
        <x:v>Pending</x:v>
      </x:c>
    </x:row>
    <x:row r="27">
      <x:c r="A27" s="30" t="str">
        <x:v>FH2025-022</x:v>
      </x:c>
      <x:c r="B27" s="30" t="str">
        <x:v>Đường Đình Hội</x:v>
      </x:c>
      <x:c r="C27" s="30" t="str">
        <x:v>Phước Long B</x:v>
      </x:c>
      <x:c r="D27" s="30" t="str">
        <x:v>Đường 359</x:v>
      </x:c>
      <x:c r="E27" s="30" t="str">
        <x:v>Cuối tuyến</x:v>
      </x:c>
      <x:c r="F27" s="66"/>
      <x:c r="G27" s="66"/>
      <x:c r="H27" s="66" t="str">
        <x:f>IF(COUNT(F27:G27)=0,"",AVERAGE(F27:G27))</x:f>
      </x:c>
      <x:c r="I27" s="69" t="n">
        <x:v>140</x:v>
      </x:c>
      <x:c r="J27" s="69"/>
      <x:c r="K27" s="30" t="str">
        <x:v>Đoạn dài 140 m; địa hình trũng; rác chắn cống.</x:v>
      </x:c>
      <x:c r="L27" s="30" t="str">
        <x:v>Địa hình trũng; rác chắn cống</x:v>
      </x:c>
      <x:c r="M27" s="30" t="str">
        <x:f>IF(G27="","Needs verification",IF(G27&lt;='Assumptions'!$B$6,"Low",IF(G27&lt;='Assumptions'!$B$7,"Medium",IF(G27&lt;='Assumptions'!$B$8,"High","Very high"))))</x:f>
        <x:v>Needs verification</x:v>
      </x:c>
      <x:c r="N27" s="30" t="str">
        <x:v>S03</x:v>
      </x:c>
      <x:c r="O27" s="72" t="n">
        <x:v>45794</x:v>
      </x:c>
      <x:c r="P27" s="30" t="str">
        <x:v>https://ttbc-hcm.gov.vn/24-diem-mua-la-ngap-o-tp-thu-duc-nguoi-dan-can-chu-y-1018710.html</x:v>
      </x:c>
      <x:c r="Q27" s="30" t="str">
        <x:v>Pending</x:v>
      </x:c>
    </x:row>
    <x:row r="28">
      <x:c r="A28" s="30" t="str">
        <x:v>FH2025-023</x:v>
      </x:c>
      <x:c r="B28" s="30" t="str">
        <x:v>Đường Đặng Phú</x:v>
      </x:c>
      <x:c r="C28" s="30" t="str">
        <x:v>Tăng Nhơn Phú A</x:v>
      </x:c>
      <x:c r="D28" s="30" t="str">
        <x:v>Đường số 6</x:v>
      </x:c>
      <x:c r="E28" s="30" t="str">
        <x:v>Hết cầu Hồng Long</x:v>
      </x:c>
      <x:c r="F28" s="66"/>
      <x:c r="G28" s="66"/>
      <x:c r="H28" s="66" t="str">
        <x:f>IF(COUNT(F28:G28)=0,"",AVERAGE(F28:G28))</x:f>
      </x:c>
      <x:c r="I28" s="69" t="n">
        <x:v>120</x:v>
      </x:c>
      <x:c r="J28" s="69"/>
      <x:c r="K28" s="30" t="str">
        <x:v>Đoạn ảnh hưởng dài 120 m.</x:v>
      </x:c>
      <x:c r="L28" s="30" t="str">
        <x:v>Không nêu</x:v>
      </x:c>
      <x:c r="M28" s="30" t="str">
        <x:f>IF(G28="","Needs verification",IF(G28&lt;='Assumptions'!$B$6,"Low",IF(G28&lt;='Assumptions'!$B$7,"Medium",IF(G28&lt;='Assumptions'!$B$8,"High","Very high"))))</x:f>
        <x:v>Needs verification</x:v>
      </x:c>
      <x:c r="N28" s="30" t="str">
        <x:v>S03</x:v>
      </x:c>
      <x:c r="O28" s="72" t="n">
        <x:v>45794</x:v>
      </x:c>
      <x:c r="P28" s="30" t="str">
        <x:v>https://ttbc-hcm.gov.vn/24-diem-mua-la-ngap-o-tp-thu-duc-nguoi-dan-can-chu-y-1018710.html</x:v>
      </x:c>
      <x:c r="Q28" s="30" t="str">
        <x:v>Pending</x:v>
      </x:c>
    </x:row>
    <x:row r="29">
      <x:c r="A29" s="31" t="str">
        <x:v>FH2025-024</x:v>
      </x:c>
      <x:c r="B29" s="31" t="str">
        <x:v>Đường Liên Phường</x:v>
      </x:c>
      <x:c r="C29" s="31" t="str">
        <x:v>Phước Long B - Tăng Nhơn Phú B</x:v>
      </x:c>
      <x:c r="D29" s="31" t="str">
        <x:v>Đường Tăng Nhơn Phú</x:v>
      </x:c>
      <x:c r="E29" s="31" t="str">
        <x:v>Hẻm 2</x:v>
      </x:c>
      <x:c r="F29" s="67"/>
      <x:c r="G29" s="67"/>
      <x:c r="H29" s="67" t="str">
        <x:f>IF(COUNT(F29:G29)=0,"",AVERAGE(F29:G29))</x:f>
      </x:c>
      <x:c r="I29" s="70" t="n">
        <x:v>150</x:v>
      </x:c>
      <x:c r="J29" s="70"/>
      <x:c r="K29" s="31" t="str">
        <x:v>Đoạn dài 150 m; ngập nhẹ.</x:v>
      </x:c>
      <x:c r="L29" s="31" t="str">
        <x:v>Không nêu</x:v>
      </x:c>
      <x:c r="M29" s="31" t="str">
        <x:f>IF(G29="","Needs verification",IF(G29&lt;='Assumptions'!$B$6,"Low",IF(G29&lt;='Assumptions'!$B$7,"Medium",IF(G29&lt;='Assumptions'!$B$8,"High","Very high"))))</x:f>
        <x:v>Needs verification</x:v>
      </x:c>
      <x:c r="N29" s="31" t="str">
        <x:v>S03</x:v>
      </x:c>
      <x:c r="O29" s="73" t="n">
        <x:v>45794</x:v>
      </x:c>
      <x:c r="P29" s="31" t="str">
        <x:v>https://ttbc-hcm.gov.vn/24-diem-mua-la-ngap-o-tp-thu-duc-nguoi-dan-can-chu-y-1018710.html</x:v>
      </x:c>
      <x:c r="Q29" s="31" t="str">
        <x:v>Pending</x:v>
      </x:c>
    </x:row>
  </x:sheetData>
  <x:mergeCells>
    <x:mergeCell ref="A1:Q1"/>
    <x:mergeCell ref="A2:Q2"/>
    <x:mergeCell ref="A3:Q3"/>
  </x:mergeCells>
  <x:conditionalFormatting sqref="M6:M29">
    <x:cfRule type="containsText" dxfId="3" priority="1" operator="containsText" text="Very high"/>
    <x:cfRule type="containsText" dxfId="4" priority="2" operator="containsText" text="High"/>
    <x:cfRule type="containsText" dxfId="5" priority="3" operator="containsText" text="Low"/>
  </x:conditionalFormatting>
  <x:conditionalFormatting sqref="Q6:Q29">
    <x:cfRule type="containsText" dxfId="6" priority="4" operator="containsText" text="Pending"/>
  </x:conditionalFormatting>
  <x:dataValidations count="1">
    <x:dataValidation type="list" sqref="Q6:Q29">
      <x:formula1>"Pending,Matched,Verified,Excluded"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738b1dcaca47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17" hidden="0" customWidth="1"/>
    <x:col min="4" max="4" width="16" hidden="0" customWidth="1"/>
    <x:col min="5" max="5" width="18" hidden="0" customWidth="1"/>
    <x:col min="6" max="6" width="16" hidden="0" customWidth="1"/>
    <x:col min="7" max="7" width="20" hidden="0" customWidth="1"/>
    <x:col min="8" max="8" width="38" hidden="0" customWidth="1"/>
    <x:col min="9" max="9" width="15" hidden="0" customWidth="1"/>
    <x:col min="10" max="10" width="10" hidden="0" customWidth="1"/>
    <x:col min="11" max="11" width="36" hidden="0" customWidth="1"/>
  </x:cols>
  <x:sheetData>
    <x:row r="1" ht="34" customHeight="1">
      <x:c r="A1" s="3" t="str">
        <x:v>TRAFFIC SCENARIOS - SIMULATED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Hệ số khởi tạo để kiểm thử; phải hiệu chỉnh bằng quan sát hoặc dữ liệu có phép sử dụng trước khi tuyên bố độ chính xác thực tế.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0" customHeight="1">
      <x:c r="A5" s="21" t="str">
        <x:v>scenario_id</x:v>
      </x:c>
      <x:c r="B5" s="21" t="str">
        <x:v>scenario_name</x:v>
      </x:c>
      <x:c r="C5" s="21" t="str">
        <x:v>time_band</x:v>
      </x:c>
      <x:c r="D5" s="21" t="str">
        <x:v>road_class</x:v>
      </x:c>
      <x:c r="E5" s="21" t="str">
        <x:v>congestion_level_1_5</x:v>
      </x:c>
      <x:c r="F5" s="21" t="str">
        <x:v>speed_multiplier</x:v>
      </x:c>
      <x:c r="G5" s="21" t="str">
        <x:v>flood_penalty_multiplier</x:v>
      </x:c>
      <x:c r="H5" s="21" t="str">
        <x:v>closure_behavior</x:v>
      </x:c>
      <x:c r="I5" s="21" t="str">
        <x:v>data_status</x:v>
      </x:c>
      <x:c r="J5" s="21" t="str">
        <x:v>source_id</x:v>
      </x:c>
      <x:c r="K5" s="21" t="str">
        <x:v>note</x:v>
      </x:c>
    </x:row>
    <x:row r="6">
      <x:c r="A6" s="29" t="str">
        <x:v>OFFPEAK</x:v>
      </x:c>
      <x:c r="B6" s="29" t="str">
        <x:v>Ngoài giờ cao điểm</x:v>
      </x:c>
      <x:c r="C6" s="29" t="str">
        <x:v>09:00-16:00</x:v>
      </x:c>
      <x:c r="D6" s="29" t="str">
        <x:v>primary</x:v>
      </x:c>
      <x:c r="E6" s="74" t="n">
        <x:v>1</x:v>
      </x:c>
      <x:c r="F6" s="77" t="n">
        <x:v>1</x:v>
      </x:c>
      <x:c r="G6" s="77" t="n">
        <x:v>1</x:v>
      </x:c>
      <x:c r="H6" s="29" t="str">
        <x:v>No automatic closure</x:v>
      </x:c>
      <x:c r="I6" s="59" t="str">
        <x:v>SIMULATED</x:v>
      </x:c>
      <x:c r="J6" s="29" t="str">
        <x:v>S15</x:v>
      </x:c>
      <x:c r="K6" s="29" t="str">
        <x:v>Baseline assumption; calibrate and document sensitivity</x:v>
      </x:c>
    </x:row>
    <x:row r="7">
      <x:c r="A7" s="30" t="str">
        <x:v>OFFPEAK</x:v>
      </x:c>
      <x:c r="B7" s="30" t="str">
        <x:v>Ngoài giờ cao điểm</x:v>
      </x:c>
      <x:c r="C7" s="30" t="str">
        <x:v>09:00-16:00</x:v>
      </x:c>
      <x:c r="D7" s="30" t="str">
        <x:v>secondary</x:v>
      </x:c>
      <x:c r="E7" s="75" t="n">
        <x:v>1</x:v>
      </x:c>
      <x:c r="F7" s="78" t="n">
        <x:v>1</x:v>
      </x:c>
      <x:c r="G7" s="78" t="n">
        <x:v>1</x:v>
      </x:c>
      <x:c r="H7" s="30" t="str">
        <x:v>No automatic closure</x:v>
      </x:c>
      <x:c r="I7" s="60" t="str">
        <x:v>SIMULATED</x:v>
      </x:c>
      <x:c r="J7" s="30" t="str">
        <x:v>S15</x:v>
      </x:c>
      <x:c r="K7" s="30" t="str">
        <x:v>Baseline assumption; calibrate and document sensitivity</x:v>
      </x:c>
    </x:row>
    <x:row r="8">
      <x:c r="A8" s="30" t="str">
        <x:v>OFFPEAK</x:v>
      </x:c>
      <x:c r="B8" s="30" t="str">
        <x:v>Ngoài giờ cao điểm</x:v>
      </x:c>
      <x:c r="C8" s="30" t="str">
        <x:v>09:00-16:00</x:v>
      </x:c>
      <x:c r="D8" s="30" t="str">
        <x:v>residential</x:v>
      </x:c>
      <x:c r="E8" s="75" t="n">
        <x:v>1</x:v>
      </x:c>
      <x:c r="F8" s="78" t="n">
        <x:v>0.9</x:v>
      </x:c>
      <x:c r="G8" s="78" t="n">
        <x:v>1</x:v>
      </x:c>
      <x:c r="H8" s="30" t="str">
        <x:v>No automatic closure</x:v>
      </x:c>
      <x:c r="I8" s="60" t="str">
        <x:v>SIMULATED</x:v>
      </x:c>
      <x:c r="J8" s="30" t="str">
        <x:v>S15</x:v>
      </x:c>
      <x:c r="K8" s="30" t="str">
        <x:v>Baseline assumption; calibrate and document sensitivity</x:v>
      </x:c>
    </x:row>
    <x:row r="9">
      <x:c r="A9" s="30" t="str">
        <x:v>OFFPEAK</x:v>
      </x:c>
      <x:c r="B9" s="30" t="str">
        <x:v>Ngoài giờ cao điểm</x:v>
      </x:c>
      <x:c r="C9" s="30" t="str">
        <x:v>09:00-16:00</x:v>
      </x:c>
      <x:c r="D9" s="30" t="str">
        <x:v>alley</x:v>
      </x:c>
      <x:c r="E9" s="75" t="n">
        <x:v>1</x:v>
      </x:c>
      <x:c r="F9" s="78" t="n">
        <x:v>0.8</x:v>
      </x:c>
      <x:c r="G9" s="78" t="n">
        <x:v>1</x:v>
      </x:c>
      <x:c r="H9" s="30" t="str">
        <x:v>No automatic closure</x:v>
      </x:c>
      <x:c r="I9" s="60" t="str">
        <x:v>SIMULATED</x:v>
      </x:c>
      <x:c r="J9" s="30" t="str">
        <x:v>S15</x:v>
      </x:c>
      <x:c r="K9" s="30" t="str">
        <x:v>Baseline assumption; calibrate and document sensitivity</x:v>
      </x:c>
    </x:row>
    <x:row r="10">
      <x:c r="A10" s="30" t="str">
        <x:v>AM_PEAK</x:v>
      </x:c>
      <x:c r="B10" s="30" t="str">
        <x:v>Cao điểm sáng</x:v>
      </x:c>
      <x:c r="C10" s="30" t="str">
        <x:v>06:30-09:00</x:v>
      </x:c>
      <x:c r="D10" s="30" t="str">
        <x:v>primary</x:v>
      </x:c>
      <x:c r="E10" s="75" t="n">
        <x:v>4</x:v>
      </x:c>
      <x:c r="F10" s="78" t="n">
        <x:v>0.55</x:v>
      </x:c>
      <x:c r="G10" s="78" t="n">
        <x:v>1</x:v>
      </x:c>
      <x:c r="H10" s="30" t="str">
        <x:v>No automatic closure</x:v>
      </x:c>
      <x:c r="I10" s="60" t="str">
        <x:v>SIMULATED</x:v>
      </x:c>
      <x:c r="J10" s="30" t="str">
        <x:v>S15</x:v>
      </x:c>
      <x:c r="K10" s="30" t="str">
        <x:v>Baseline assumption; calibrate and document sensitivity</x:v>
      </x:c>
    </x:row>
    <x:row r="11">
      <x:c r="A11" s="30" t="str">
        <x:v>AM_PEAK</x:v>
      </x:c>
      <x:c r="B11" s="30" t="str">
        <x:v>Cao điểm sáng</x:v>
      </x:c>
      <x:c r="C11" s="30" t="str">
        <x:v>06:30-09:00</x:v>
      </x:c>
      <x:c r="D11" s="30" t="str">
        <x:v>secondary</x:v>
      </x:c>
      <x:c r="E11" s="75" t="n">
        <x:v>3</x:v>
      </x:c>
      <x:c r="F11" s="78" t="n">
        <x:v>0.65</x:v>
      </x:c>
      <x:c r="G11" s="78" t="n">
        <x:v>1</x:v>
      </x:c>
      <x:c r="H11" s="30" t="str">
        <x:v>No automatic closure</x:v>
      </x:c>
      <x:c r="I11" s="60" t="str">
        <x:v>SIMULATED</x:v>
      </x:c>
      <x:c r="J11" s="30" t="str">
        <x:v>S15</x:v>
      </x:c>
      <x:c r="K11" s="30" t="str">
        <x:v>Baseline assumption; calibrate and document sensitivity</x:v>
      </x:c>
    </x:row>
    <x:row r="12">
      <x:c r="A12" s="30" t="str">
        <x:v>AM_PEAK</x:v>
      </x:c>
      <x:c r="B12" s="30" t="str">
        <x:v>Cao điểm sáng</x:v>
      </x:c>
      <x:c r="C12" s="30" t="str">
        <x:v>06:30-09:00</x:v>
      </x:c>
      <x:c r="D12" s="30" t="str">
        <x:v>residential</x:v>
      </x:c>
      <x:c r="E12" s="75" t="n">
        <x:v>2</x:v>
      </x:c>
      <x:c r="F12" s="78" t="n">
        <x:v>0.8</x:v>
      </x:c>
      <x:c r="G12" s="78" t="n">
        <x:v>1</x:v>
      </x:c>
      <x:c r="H12" s="30" t="str">
        <x:v>No automatic closure</x:v>
      </x:c>
      <x:c r="I12" s="60" t="str">
        <x:v>SIMULATED</x:v>
      </x:c>
      <x:c r="J12" s="30" t="str">
        <x:v>S15</x:v>
      </x:c>
      <x:c r="K12" s="30" t="str">
        <x:v>Baseline assumption; calibrate and document sensitivity</x:v>
      </x:c>
    </x:row>
    <x:row r="13">
      <x:c r="A13" s="30" t="str">
        <x:v>AM_PEAK</x:v>
      </x:c>
      <x:c r="B13" s="30" t="str">
        <x:v>Cao điểm sáng</x:v>
      </x:c>
      <x:c r="C13" s="30" t="str">
        <x:v>06:30-09:00</x:v>
      </x:c>
      <x:c r="D13" s="30" t="str">
        <x:v>alley</x:v>
      </x:c>
      <x:c r="E13" s="75" t="n">
        <x:v>2</x:v>
      </x:c>
      <x:c r="F13" s="78" t="n">
        <x:v>0.75</x:v>
      </x:c>
      <x:c r="G13" s="78" t="n">
        <x:v>1</x:v>
      </x:c>
      <x:c r="H13" s="30" t="str">
        <x:v>No automatic closure</x:v>
      </x:c>
      <x:c r="I13" s="60" t="str">
        <x:v>SIMULATED</x:v>
      </x:c>
      <x:c r="J13" s="30" t="str">
        <x:v>S15</x:v>
      </x:c>
      <x:c r="K13" s="30" t="str">
        <x:v>Baseline assumption; calibrate and document sensitivity</x:v>
      </x:c>
    </x:row>
    <x:row r="14">
      <x:c r="A14" s="30" t="str">
        <x:v>PM_PEAK</x:v>
      </x:c>
      <x:c r="B14" s="30" t="str">
        <x:v>Cao điểm chiều</x:v>
      </x:c>
      <x:c r="C14" s="30" t="str">
        <x:v>16:30-19:30</x:v>
      </x:c>
      <x:c r="D14" s="30" t="str">
        <x:v>primary</x:v>
      </x:c>
      <x:c r="E14" s="75" t="n">
        <x:v>5</x:v>
      </x:c>
      <x:c r="F14" s="78" t="n">
        <x:v>0.45</x:v>
      </x:c>
      <x:c r="G14" s="78" t="n">
        <x:v>1</x:v>
      </x:c>
      <x:c r="H14" s="30" t="str">
        <x:v>No automatic closure</x:v>
      </x:c>
      <x:c r="I14" s="60" t="str">
        <x:v>SIMULATED</x:v>
      </x:c>
      <x:c r="J14" s="30" t="str">
        <x:v>S15</x:v>
      </x:c>
      <x:c r="K14" s="30" t="str">
        <x:v>Baseline assumption; calibrate and document sensitivity</x:v>
      </x:c>
    </x:row>
    <x:row r="15">
      <x:c r="A15" s="30" t="str">
        <x:v>PM_PEAK</x:v>
      </x:c>
      <x:c r="B15" s="30" t="str">
        <x:v>Cao điểm chiều</x:v>
      </x:c>
      <x:c r="C15" s="30" t="str">
        <x:v>16:30-19:30</x:v>
      </x:c>
      <x:c r="D15" s="30" t="str">
        <x:v>secondary</x:v>
      </x:c>
      <x:c r="E15" s="75" t="n">
        <x:v>4</x:v>
      </x:c>
      <x:c r="F15" s="78" t="n">
        <x:v>0.55</x:v>
      </x:c>
      <x:c r="G15" s="78" t="n">
        <x:v>1</x:v>
      </x:c>
      <x:c r="H15" s="30" t="str">
        <x:v>No automatic closure</x:v>
      </x:c>
      <x:c r="I15" s="60" t="str">
        <x:v>SIMULATED</x:v>
      </x:c>
      <x:c r="J15" s="30" t="str">
        <x:v>S15</x:v>
      </x:c>
      <x:c r="K15" s="30" t="str">
        <x:v>Baseline assumption; calibrate and document sensitivity</x:v>
      </x:c>
    </x:row>
    <x:row r="16">
      <x:c r="A16" s="30" t="str">
        <x:v>PM_PEAK</x:v>
      </x:c>
      <x:c r="B16" s="30" t="str">
        <x:v>Cao điểm chiều</x:v>
      </x:c>
      <x:c r="C16" s="30" t="str">
        <x:v>16:30-19:30</x:v>
      </x:c>
      <x:c r="D16" s="30" t="str">
        <x:v>residential</x:v>
      </x:c>
      <x:c r="E16" s="75" t="n">
        <x:v>3</x:v>
      </x:c>
      <x:c r="F16" s="78" t="n">
        <x:v>0.7</x:v>
      </x:c>
      <x:c r="G16" s="78" t="n">
        <x:v>1</x:v>
      </x:c>
      <x:c r="H16" s="30" t="str">
        <x:v>No automatic closure</x:v>
      </x:c>
      <x:c r="I16" s="60" t="str">
        <x:v>SIMULATED</x:v>
      </x:c>
      <x:c r="J16" s="30" t="str">
        <x:v>S15</x:v>
      </x:c>
      <x:c r="K16" s="30" t="str">
        <x:v>Baseline assumption; calibrate and document sensitivity</x:v>
      </x:c>
    </x:row>
    <x:row r="17">
      <x:c r="A17" s="30" t="str">
        <x:v>PM_PEAK</x:v>
      </x:c>
      <x:c r="B17" s="30" t="str">
        <x:v>Cao điểm chiều</x:v>
      </x:c>
      <x:c r="C17" s="30" t="str">
        <x:v>16:30-19:30</x:v>
      </x:c>
      <x:c r="D17" s="30" t="str">
        <x:v>alley</x:v>
      </x:c>
      <x:c r="E17" s="75" t="n">
        <x:v>3</x:v>
      </x:c>
      <x:c r="F17" s="78" t="n">
        <x:v>0.65</x:v>
      </x:c>
      <x:c r="G17" s="78" t="n">
        <x:v>1</x:v>
      </x:c>
      <x:c r="H17" s="30" t="str">
        <x:v>No automatic closure</x:v>
      </x:c>
      <x:c r="I17" s="60" t="str">
        <x:v>SIMULATED</x:v>
      </x:c>
      <x:c r="J17" s="30" t="str">
        <x:v>S15</x:v>
      </x:c>
      <x:c r="K17" s="30" t="str">
        <x:v>Baseline assumption; calibrate and document sensitivity</x:v>
      </x:c>
    </x:row>
    <x:row r="18">
      <x:c r="A18" s="30" t="str">
        <x:v>HEAVY_RAIN_PEAK</x:v>
      </x:c>
      <x:c r="B18" s="30" t="str">
        <x:v>Mưa lớn + cao điểm</x:v>
      </x:c>
      <x:c r="C18" s="30" t="str">
        <x:v>16:30-19:30</x:v>
      </x:c>
      <x:c r="D18" s="30" t="str">
        <x:v>primary</x:v>
      </x:c>
      <x:c r="E18" s="75" t="n">
        <x:v>5</x:v>
      </x:c>
      <x:c r="F18" s="78" t="n">
        <x:v>0.4</x:v>
      </x:c>
      <x:c r="G18" s="78" t="n">
        <x:v>1.5</x:v>
      </x:c>
      <x:c r="H18" s="30" t="str">
        <x:v>Close edge if configured vehicle-risk rule is violated</x:v>
      </x:c>
      <x:c r="I18" s="60" t="str">
        <x:v>SIMULATED</x:v>
      </x:c>
      <x:c r="J18" s="30" t="str">
        <x:v>S15</x:v>
      </x:c>
      <x:c r="K18" s="30" t="str">
        <x:v>Baseline assumption; calibrate and document sensitivity</x:v>
      </x:c>
    </x:row>
    <x:row r="19">
      <x:c r="A19" s="30" t="str">
        <x:v>HEAVY_RAIN_PEAK</x:v>
      </x:c>
      <x:c r="B19" s="30" t="str">
        <x:v>Mưa lớn + cao điểm</x:v>
      </x:c>
      <x:c r="C19" s="30" t="str">
        <x:v>16:30-19:30</x:v>
      </x:c>
      <x:c r="D19" s="30" t="str">
        <x:v>secondary</x:v>
      </x:c>
      <x:c r="E19" s="75" t="n">
        <x:v>5</x:v>
      </x:c>
      <x:c r="F19" s="78" t="n">
        <x:v>0.35</x:v>
      </x:c>
      <x:c r="G19" s="78" t="n">
        <x:v>1.8</x:v>
      </x:c>
      <x:c r="H19" s="30" t="str">
        <x:v>Close edge if configured vehicle-risk rule is violated</x:v>
      </x:c>
      <x:c r="I19" s="60" t="str">
        <x:v>SIMULATED</x:v>
      </x:c>
      <x:c r="J19" s="30" t="str">
        <x:v>S15</x:v>
      </x:c>
      <x:c r="K19" s="30" t="str">
        <x:v>Baseline assumption; calibrate and document sensitivity</x:v>
      </x:c>
    </x:row>
    <x:row r="20">
      <x:c r="A20" s="30" t="str">
        <x:v>HEAVY_RAIN_PEAK</x:v>
      </x:c>
      <x:c r="B20" s="30" t="str">
        <x:v>Mưa lớn + cao điểm</x:v>
      </x:c>
      <x:c r="C20" s="30" t="str">
        <x:v>16:30-19:30</x:v>
      </x:c>
      <x:c r="D20" s="30" t="str">
        <x:v>residential</x:v>
      </x:c>
      <x:c r="E20" s="75" t="n">
        <x:v>4</x:v>
      </x:c>
      <x:c r="F20" s="78" t="n">
        <x:v>0.4</x:v>
      </x:c>
      <x:c r="G20" s="78" t="n">
        <x:v>2</x:v>
      </x:c>
      <x:c r="H20" s="30" t="str">
        <x:v>Close edge if configured vehicle-risk rule is violated</x:v>
      </x:c>
      <x:c r="I20" s="60" t="str">
        <x:v>SIMULATED</x:v>
      </x:c>
      <x:c r="J20" s="30" t="str">
        <x:v>S15</x:v>
      </x:c>
      <x:c r="K20" s="30" t="str">
        <x:v>Baseline assumption; calibrate and document sensitivity</x:v>
      </x:c>
    </x:row>
    <x:row r="21">
      <x:c r="A21" s="31" t="str">
        <x:v>HEAVY_RAIN_PEAK</x:v>
      </x:c>
      <x:c r="B21" s="31" t="str">
        <x:v>Mưa lớn + cao điểm</x:v>
      </x:c>
      <x:c r="C21" s="31" t="str">
        <x:v>16:30-19:30</x:v>
      </x:c>
      <x:c r="D21" s="31" t="str">
        <x:v>alley</x:v>
      </x:c>
      <x:c r="E21" s="76" t="n">
        <x:v>5</x:v>
      </x:c>
      <x:c r="F21" s="79" t="n">
        <x:v>0.25</x:v>
      </x:c>
      <x:c r="G21" s="79" t="n">
        <x:v>3</x:v>
      </x:c>
      <x:c r="H21" s="31" t="str">
        <x:v>Close edge if configured vehicle-risk rule is violated</x:v>
      </x:c>
      <x:c r="I21" s="61" t="str">
        <x:v>SIMULATED</x:v>
      </x:c>
      <x:c r="J21" s="31" t="str">
        <x:v>S15</x:v>
      </x:c>
      <x:c r="K21" s="31" t="str">
        <x:v>Baseline assumption; calibrate and document sensitivity</x:v>
      </x:c>
    </x:row>
  </x:sheetData>
  <x:mergeCells>
    <x:mergeCell ref="A1:K1"/>
    <x:mergeCell ref="A2:K2"/>
  </x:mergeCells>
  <x:dataValidations count="1">
    <x:dataValidation type="list" sqref="D6:D21">
      <x:formula1>"primary,secondary,residential,alley"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b85a71ec5a4c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17" hidden="0" customWidth="1"/>
    <x:col min="4" max="4" width="20" hidden="0" customWidth="1"/>
    <x:col min="5" max="5" width="20" hidden="0" customWidth="1"/>
    <x:col min="6" max="6" width="18" hidden="0" customWidth="1"/>
    <x:col min="7" max="7" width="14" hidden="0" customWidth="1"/>
    <x:col min="8" max="8" width="14" hidden="0" customWidth="1"/>
    <x:col min="9" max="9" width="28" hidden="0" customWidth="1"/>
  </x:cols>
  <x:sheetData>
    <x:row r="1" ht="34" customHeight="1">
      <x:c r="A1" s="3" t="str">
        <x:v>COST FUNCTION WEIGHT PRESETS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Các thành phần phải chuẩn hóa về [0,1]. Tổng trọng số bằng 1; penalty cấm đường xử lý riêng, không đưa vào tổng này.</x:v>
      </x:c>
      <x:c r="B2" s="7"/>
      <x:c r="C2" s="7"/>
      <x:c r="D2" s="7"/>
      <x:c r="E2" s="7"/>
      <x:c r="F2" s="7"/>
      <x:c r="G2" s="7"/>
      <x:c r="H2" s="7"/>
      <x:c r="I2" s="7"/>
    </x:row>
    <x:row r="5" ht="30" customHeight="1">
      <x:c r="A5" s="21" t="str">
        <x:v>preset_id</x:v>
      </x:c>
      <x:c r="B5" s="21" t="str">
        <x:v>preset_name</x:v>
      </x:c>
      <x:c r="C5" s="21" t="str">
        <x:v>alpha_distance</x:v>
      </x:c>
      <x:c r="D5" s="21" t="str">
        <x:v>beta_freeflow_time</x:v>
      </x:c>
      <x:c r="E5" s="21" t="str">
        <x:v>gamma_congestion</x:v>
      </x:c>
      <x:c r="F5" s="21" t="str">
        <x:v>delta_flood_risk</x:v>
      </x:c>
      <x:c r="G5" s="21" t="str">
        <x:v>weight_sum</x:v>
      </x:c>
      <x:c r="H5" s="21" t="str">
        <x:v>validation</x:v>
      </x:c>
      <x:c r="I5" s="21" t="str">
        <x:v>use_case</x:v>
      </x:c>
    </x:row>
    <x:row r="6">
      <x:c r="A6" s="29" t="str">
        <x:v>BALANCED</x:v>
      </x:c>
      <x:c r="B6" s="29" t="str">
        <x:v>Cân bằng</x:v>
      </x:c>
      <x:c r="C6" s="83" t="n">
        <x:v>0.25</x:v>
      </x:c>
      <x:c r="D6" s="83" t="n">
        <x:v>0.3</x:v>
      </x:c>
      <x:c r="E6" s="83" t="n">
        <x:v>0.2</x:v>
      </x:c>
      <x:c r="F6" s="83" t="n">
        <x:v>0.25</x:v>
      </x:c>
      <x:c r="G6" s="80" t="n">
        <x:f>SUM(C6:F6)</x:f>
        <x:v>1</x:v>
      </x:c>
      <x:c r="H6" s="29" t="str">
        <x:f>IF(ABS(G6-1)&lt;0.0001,"PASS","CHECK")</x:f>
        <x:v>PASS</x:v>
      </x:c>
      <x:c r="I6" s="29" t="str">
        <x:v>So sánh mặc định</x:v>
      </x:c>
    </x:row>
    <x:row r="7">
      <x:c r="A7" s="30" t="str">
        <x:v>FASTEST</x:v>
      </x:c>
      <x:c r="B7" s="30" t="str">
        <x:v>Nhanh nhất</x:v>
      </x:c>
      <x:c r="C7" s="84" t="n">
        <x:v>0.1</x:v>
      </x:c>
      <x:c r="D7" s="84" t="n">
        <x:v>0.55</x:v>
      </x:c>
      <x:c r="E7" s="84" t="n">
        <x:v>0.3</x:v>
      </x:c>
      <x:c r="F7" s="84" t="n">
        <x:v>0.05</x:v>
      </x:c>
      <x:c r="G7" s="81" t="n">
        <x:f>SUM(C7:F7)</x:f>
        <x:v>1</x:v>
      </x:c>
      <x:c r="H7" s="30" t="str">
        <x:f>IF(ABS(G7-1)&lt;0.0001,"PASS","CHECK")</x:f>
        <x:v>PASS</x:v>
      </x:c>
      <x:c r="I7" s="30" t="str">
        <x:v>Ưu tiên ETA</x:v>
      </x:c>
    </x:row>
    <x:row r="8">
      <x:c r="A8" s="31" t="str">
        <x:v>RAIN_SAFE</x:v>
      </x:c>
      <x:c r="B8" s="31" t="str">
        <x:v>An toàn khi mưa</x:v>
      </x:c>
      <x:c r="C8" s="85" t="n">
        <x:v>0.1</x:v>
      </x:c>
      <x:c r="D8" s="85" t="n">
        <x:v>0.25</x:v>
      </x:c>
      <x:c r="E8" s="85" t="n">
        <x:v>0.15</x:v>
      </x:c>
      <x:c r="F8" s="85" t="n">
        <x:v>0.5</x:v>
      </x:c>
      <x:c r="G8" s="82" t="n">
        <x:f>SUM(C8:F8)</x:f>
        <x:v>1</x:v>
      </x:c>
      <x:c r="H8" s="31" t="str">
        <x:f>IF(ABS(G8-1)&lt;0.0001,"PASS","CHECK")</x:f>
        <x:v>PASS</x:v>
      </x:c>
      <x:c r="I8" s="31" t="str">
        <x:v>Tăng phạt rủi ro ngập</x:v>
      </x:c>
    </x:row>
    <x:row r="11">
      <x:c r="A11" s="46" t="str">
        <x:v>C_e(t,v) = alpha*d_norm + beta*time_freeflow_norm + gamma*congestion_norm(t) + delta*flood_risk_norm(t,v) + restriction_penalty. Các preset chỉ là điểm khởi đầu; báo cáo phải có sensitivity analysis và giải thích trường hợp tuyến thay đổi.</x:v>
      </x:c>
      <x:c r="B11" s="46"/>
      <x:c r="C11" s="46"/>
      <x:c r="D11" s="46"/>
      <x:c r="E11" s="46"/>
      <x:c r="F11" s="46"/>
      <x:c r="G11" s="46"/>
      <x:c r="H11" s="46"/>
      <x:c r="I11" s="46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</x:row>
  </x:sheetData>
  <x:mergeCells>
    <x:mergeCell ref="A1:I1"/>
    <x:mergeCell ref="A2:I2"/>
    <x:mergeCell ref="A11:I13"/>
  </x:mergeCells>
  <x:conditionalFormatting sqref="H6:H8">
    <x:cfRule type="containsText" dxfId="7" priority="1" operator="containsText" text="PASS"/>
    <x:cfRule type="containsText" dxfId="8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0badce3dc1d244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8" hidden="0" customWidth="1"/>
    <x:col min="4" max="4" width="18" hidden="0" customWidth="1"/>
    <x:col min="5" max="5" width="14" hidden="0" customWidth="1"/>
    <x:col min="6" max="6" width="14" hidden="0" customWidth="1"/>
    <x:col min="7" max="7" width="24" hidden="0" customWidth="1"/>
    <x:col min="8" max="8" width="12" hidden="0" customWidth="1"/>
    <x:col min="9" max="9" width="17" hidden="0" customWidth="1"/>
    <x:col min="10" max="10" width="20" hidden="0" customWidth="1"/>
  </x:cols>
  <x:sheetData>
    <x:row r="1" ht="34" customHeight="1">
      <x:c r="A1" s="3" t="str">
        <x:v>ROAD NODES - OSM EXTRACTION TEMPLATE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Chưa có dữ liệu ở v0.1. Điền bằng snapshot OSM/OSMnx sau khi chốt vùng nghiên cứu.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46" t="str">
        <x:v>Required source: S09/S10/S11. Target size: 80-150 intersection/dead-end nodes after topology simplification.</x:v>
      </x:c>
      <x:c r="B3" s="46"/>
      <x:c r="C3" s="46"/>
      <x:c r="D3" s="46"/>
      <x:c r="E3" s="46"/>
      <x:c r="F3" s="46"/>
      <x:c r="G3" s="46"/>
      <x:c r="H3" s="46"/>
      <x:c r="I3" s="46"/>
      <x:c r="J3" s="46"/>
    </x:row>
    <x:row r="5" ht="30" customHeight="1">
      <x:c r="A5" s="21" t="str">
        <x:v>node_id</x:v>
      </x:c>
      <x:c r="B5" s="21" t="str">
        <x:v>osm_node_id</x:v>
      </x:c>
      <x:c r="C5" s="21" t="str">
        <x:v>name</x:v>
      </x:c>
      <x:c r="D5" s="21" t="str">
        <x:v>node_type</x:v>
      </x:c>
      <x:c r="E5" s="21" t="str">
        <x:v>latitude</x:v>
      </x:c>
      <x:c r="F5" s="21" t="str">
        <x:v>longitude</x:v>
      </x:c>
      <x:c r="G5" s="21" t="str">
        <x:v>legacy_ward</x:v>
      </x:c>
      <x:c r="H5" s="21" t="str">
        <x:v>source_id</x:v>
      </x:c>
      <x:c r="I5" s="21" t="str">
        <x:v>extraction_date</x:v>
      </x:c>
      <x:c r="J5" s="21" t="str">
        <x:v>validation_status</x:v>
      </x:c>
    </x:row>
    <x:row r="6">
      <x:c r="A6" s="90" t="str">
        <x:v>TO_BE_POPULATED</x:v>
      </x:c>
      <x:c r="B6" s="90"/>
      <x:c r="C6" s="90" t="str">
        <x:v>Do not use this row as graph data</x:v>
      </x:c>
      <x:c r="D6" s="90" t="str">
        <x:v>placeholder</x:v>
      </x:c>
      <x:c r="E6" s="90"/>
      <x:c r="F6" s="90"/>
      <x:c r="G6" s="90"/>
      <x:c r="H6" s="90" t="str">
        <x:v>S11</x:v>
      </x:c>
      <x:c r="I6" s="90"/>
      <x:c r="J6" s="90" t="str">
        <x:v>Pending extraction</x:v>
      </x:c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7" hidden="0" customWidth="1"/>
    <x:col min="5" max="5" width="28" hidden="0" customWidth="1"/>
    <x:col min="6" max="6" width="16" hidden="0" customWidth="1"/>
    <x:col min="7" max="7" width="14" hidden="0" customWidth="1"/>
    <x:col min="8" max="8" width="14" hidden="0" customWidth="1"/>
    <x:col min="9" max="9" width="19" hidden="0" customWidth="1"/>
    <x:col min="10" max="10" width="19" hidden="0" customWidth="1"/>
    <x:col min="11" max="11" width="19" hidden="0" customWidth="1"/>
    <x:col min="12" max="12" width="12" hidden="0" customWidth="1"/>
    <x:col min="13" max="13" width="16" hidden="0" customWidth="1"/>
    <x:col min="14" max="14" width="22" hidden="0" customWidth="1"/>
    <x:col min="15" max="15" width="15" hidden="0" customWidth="1"/>
    <x:col min="16" max="16" width="28" hidden="0" customWidth="1"/>
  </x:cols>
  <x:sheetData>
    <x:row r="1" ht="34" customHeight="1">
      <x:c r="A1" s="3" t="str">
        <x:v>ROAD EDGES - DIRECTED GRAPH TEMPLATE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Một đường hai chiều phải có hai cạnh; giữ one-way, loại đường và liên kết hotspot để tính chi phí.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46" t="str">
        <x:v>Derived free_flow_time_min = distance_m / (free_flow_speed_kmh * 1000 / 60). Flood fields are linked only after two-person map-matching review.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</x:row>
    <x:row r="5" ht="30" customHeight="1">
      <x:c r="A5" s="21" t="str">
        <x:v>edge_id</x:v>
      </x:c>
      <x:c r="B5" s="21" t="str">
        <x:v>from_node_id</x:v>
      </x:c>
      <x:c r="C5" s="21" t="str">
        <x:v>to_node_id</x:v>
      </x:c>
      <x:c r="D5" s="21" t="str">
        <x:v>osm_way_id</x:v>
      </x:c>
      <x:c r="E5" s="21" t="str">
        <x:v>road_name</x:v>
      </x:c>
      <x:c r="F5" s="21" t="str">
        <x:v>road_type</x:v>
      </x:c>
      <x:c r="G5" s="21" t="str">
        <x:v>direction</x:v>
      </x:c>
      <x:c r="H5" s="21" t="str">
        <x:v>distance_m</x:v>
      </x:c>
      <x:c r="I5" s="21" t="str">
        <x:v>free_flow_speed_kmh</x:v>
      </x:c>
      <x:c r="J5" s="21" t="str">
        <x:v>free_flow_time_min</x:v>
      </x:c>
      <x:c r="K5" s="21" t="str">
        <x:v>flood_hotspot_id</x:v>
      </x:c>
      <x:c r="L5" s="21" t="str">
        <x:v>source_id</x:v>
      </x:c>
      <x:c r="M5" s="21" t="str">
        <x:v>snapshot_date</x:v>
      </x:c>
      <x:c r="N5" s="21" t="str">
        <x:v>map_matching_status</x:v>
      </x:c>
      <x:c r="O5" s="21" t="str">
        <x:v>is_restricted</x:v>
      </x:c>
      <x:c r="P5" s="21" t="str">
        <x:v>notes</x:v>
      </x:c>
    </x:row>
    <x:row r="6">
      <x:c r="A6" s="90" t="str">
        <x:v>TO_BE_POPULATED</x:v>
      </x:c>
      <x:c r="B6" s="90"/>
      <x:c r="C6" s="90"/>
      <x:c r="D6" s="90"/>
      <x:c r="E6" s="90" t="str">
        <x:v>Do not use this row as graph data</x:v>
      </x:c>
      <x:c r="F6" s="90"/>
      <x:c r="G6" s="90"/>
      <x:c r="H6" s="90"/>
      <x:c r="I6" s="90"/>
      <x:c r="J6" s="90"/>
      <x:c r="K6" s="90"/>
      <x:c r="L6" s="90" t="str">
        <x:v>S11</x:v>
      </x:c>
      <x:c r="M6" s="90"/>
      <x:c r="N6" s="90" t="str">
        <x:v>Pending extraction</x:v>
      </x:c>
      <x:c r="O6" s="97" t="b">
        <x:v>0</x:v>
      </x:c>
      <x:c r="P6" s="90" t="str">
        <x:v>Placeholder only</x:v>
      </x:c>
    </x:row>
  </x:sheetData>
  <x:mergeCells>
    <x:mergeCell ref="A1:P1"/>
    <x:mergeCell ref="A2:P2"/>
    <x:mergeCell ref="A3:P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8" hidden="0" customWidth="1"/>
    <x:col min="9" max="9" width="18" hidden="0" customWidth="1"/>
    <x:col min="10" max="10" width="12" hidden="0" customWidth="1"/>
    <x:col min="11" max="11" width="18" hidden="0" customWidth="1"/>
    <x:col min="12" max="12" width="20" hidden="0" customWidth="1"/>
    <x:col min="13" max="13" width="30" hidden="0" customWidth="1"/>
  </x:cols>
  <x:sheetData>
    <x:row r="1" ht="34" customHeight="1">
      <x:c r="A1" s="3" t="str">
        <x:v>DELIVERY POINTS - SELECTION TEMPLATE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7" t="str">
        <x:v>Chọn 5-10 điểm cho thử nghiệm multi-location; mọi tọa độ phải có nguồn và được snap vào nút/cạnh gần nhất.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5" ht="30" customHeight="1">
      <x:c r="A5" s="21" t="str">
        <x:v>point_id</x:v>
      </x:c>
      <x:c r="B5" s="21" t="str">
        <x:v>name</x:v>
      </x:c>
      <x:c r="C5" s="21" t="str">
        <x:v>point_type</x:v>
      </x:c>
      <x:c r="D5" s="21" t="str">
        <x:v>latitude</x:v>
      </x:c>
      <x:c r="E5" s="21" t="str">
        <x:v>longitude</x:v>
      </x:c>
      <x:c r="F5" s="21" t="str">
        <x:v>service_time_min</x:v>
      </x:c>
      <x:c r="G5" s="21" t="str">
        <x:v>priority</x:v>
      </x:c>
      <x:c r="H5" s="21" t="str">
        <x:v>time_window_start</x:v>
      </x:c>
      <x:c r="I5" s="21" t="str">
        <x:v>time_window_end</x:v>
      </x:c>
      <x:c r="J5" s="21" t="str">
        <x:v>source_id</x:v>
      </x:c>
      <x:c r="K5" s="21" t="str">
        <x:v>snap_node_id</x:v>
      </x:c>
      <x:c r="L5" s="21" t="str">
        <x:v>validation_status</x:v>
      </x:c>
      <x:c r="M5" s="21" t="str">
        <x:v>notes</x:v>
      </x:c>
    </x:row>
    <x:row r="6">
      <x:c r="A6" s="90" t="str">
        <x:v>TO_BE_SELECTED</x:v>
      </x:c>
      <x:c r="B6" s="90" t="str">
        <x:v>Warehouse / delivery point</x:v>
      </x:c>
      <x:c r="C6" s="90" t="str">
        <x:v>placeholder</x:v>
      </x:c>
      <x:c r="D6" s="90"/>
      <x:c r="E6" s="90"/>
      <x:c r="F6" s="90"/>
      <x:c r="G6" s="90"/>
      <x:c r="H6" s="90"/>
      <x:c r="I6" s="90"/>
      <x:c r="J6" s="90" t="str">
        <x:v>S11</x:v>
      </x:c>
      <x:c r="K6" s="90"/>
      <x:c r="L6" s="90" t="str">
        <x:v>Pending</x:v>
      </x:c>
      <x:c r="M6" s="90" t="str">
        <x:v>Replace with real, sourced points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6" hidden="0" customWidth="1"/>
    <x:col min="3" max="3" width="32" hidden="0" customWidth="1"/>
    <x:col min="4" max="4" width="17" hidden="0" customWidth="1"/>
    <x:col min="5" max="5" width="38" hidden="0" customWidth="1"/>
    <x:col min="6" max="6" width="55" hidden="0" customWidth="1"/>
    <x:col min="7" max="7" width="15" hidden="0" customWidth="1"/>
    <x:col min="8" max="8" width="24" hidden="0" customWidth="1"/>
    <x:col min="9" max="9" width="30" hidden="0" customWidth="1"/>
  </x:cols>
  <x:sheetData>
    <x:row r="1" ht="34" customHeight="1">
      <x:c r="A1" s="3" t="str">
        <x:v>SOURCE REGISTRY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Danh mục đầy đủ các nguồn dùng trong kế hoạch và dataset. Ngày truy cập web: 2026-07-16.</x:v>
      </x:c>
      <x:c r="B2" s="7"/>
      <x:c r="C2" s="7"/>
      <x:c r="D2" s="7"/>
      <x:c r="E2" s="7"/>
      <x:c r="F2" s="7"/>
      <x:c r="G2" s="7"/>
      <x:c r="H2" s="7"/>
      <x:c r="I2" s="7"/>
    </x:row>
    <x:row r="5" ht="30" customHeight="1">
      <x:c r="A5" s="21" t="str">
        <x:v>source_id</x:v>
      </x:c>
      <x:c r="B5" s="21" t="str">
        <x:v>title</x:v>
      </x:c>
      <x:c r="C5" s="21" t="str">
        <x:v>publisher_author</x:v>
      </x:c>
      <x:c r="D5" s="21" t="str">
        <x:v>publication_date</x:v>
      </x:c>
      <x:c r="E5" s="21" t="str">
        <x:v>used_for</x:v>
      </x:c>
      <x:c r="F5" s="21" t="str">
        <x:v>url_or_location</x:v>
      </x:c>
      <x:c r="G5" s="21" t="str">
        <x:v>access_date</x:v>
      </x:c>
      <x:c r="H5" s="21" t="str">
        <x:v>reliability</x:v>
      </x:c>
      <x:c r="I5" s="21" t="str">
        <x:v>notes</x:v>
      </x:c>
    </x:row>
    <x:row r="6">
      <x:c r="A6" s="29" t="str">
        <x:v>S01</x:v>
      </x:c>
      <x:c r="B6" s="29" t="str">
        <x:v>Lab 1: Search Algorithms for Vietnamese Traffic Route Optimization</x:v>
      </x:c>
      <x:c r="C6" s="29" t="str">
        <x:v>Course assignment supplied by user</x:v>
      </x:c>
      <x:c r="D6" s="71"/>
      <x:c r="E6" s="29" t="str">
        <x:v>Yêu cầu bài toán, thuật toán, GUI, dataset và rubric</x:v>
      </x:c>
      <x:c r="F6" s="29" t="str">
        <x:v>Local attachment: Lab 1 - Searching.pdf</x:v>
      </x:c>
      <x:c r="G6" s="71" t="n">
        <x:v>46219</x:v>
      </x:c>
      <x:c r="H6" s="29" t="str">
        <x:v>Primary course source</x:v>
      </x:c>
      <x:c r="I6" s="29" t="str">
        <x:v>Pages 1-10</x:v>
      </x:c>
    </x:row>
    <x:row r="7">
      <x:c r="A7" s="30" t="str">
        <x:v>S02</x:v>
      </x:c>
      <x:c r="B7" s="30" t="str">
        <x:v>Lab 1: Vấn đáp</x:v>
      </x:c>
      <x:c r="C7" s="30" t="str">
        <x:v>Notes supplied by user</x:v>
      </x:c>
      <x:c r="D7" s="72"/>
      <x:c r="E7" s="30" t="str">
        <x:v>Yêu cầu chia sẻ công việc, chứng minh giải pháp và GUI</x:v>
      </x:c>
      <x:c r="F7" s="30" t="str">
        <x:v>Local attachment: Lab 1 Vấn đáp.txt</x:v>
      </x:c>
      <x:c r="G7" s="72" t="n">
        <x:v>46219</x:v>
      </x:c>
      <x:c r="H7" s="30" t="str">
        <x:v>Primary user-provided note</x:v>
      </x:c>
      <x:c r="I7" s="30" t="str">
        <x:v>Use for oral-defense planning</x:v>
      </x:c>
    </x:row>
    <x:row r="8">
      <x:c r="A8" s="30" t="str">
        <x:v>S03</x:v>
      </x:c>
      <x:c r="B8" s="30" t="str">
        <x:v>24 điểm mưa là ngập ở TP Thủ Đức, người dân cần chú ý</x:v>
      </x:c>
      <x:c r="C8" s="30" t="str">
        <x:v>Trung tâm Báo chí TP.HCM</x:v>
      </x:c>
      <x:c r="D8" s="72" t="n">
        <x:v>45794</x:v>
      </x:c>
      <x:c r="E8" s="30" t="str">
        <x:v>24 hotspot records with depth/length/drainage details</x:v>
      </x:c>
      <x:c r="F8" s="30" t="str">
        <x:v>https://ttbc-hcm.gov.vn/24-diem-mua-la-ngap-o-tp-thu-duc-nguoi-dan-can-chu-y-1018710.html</x:v>
      </x:c>
      <x:c r="G8" s="72" t="n">
        <x:v>46219</x:v>
      </x:c>
      <x:c r="H8" s="30" t="str">
        <x:v>High</x:v>
      </x:c>
      <x:c r="I8" s="30" t="str">
        <x:v>Core flood dataset</x:v>
      </x:c>
    </x:row>
    <x:row r="9">
      <x:c r="A9" s="30" t="str">
        <x:v>S04</x:v>
      </x:c>
      <x:c r="B9" s="30" t="str">
        <x:v>Sở xây dựng TPHCM điểm danh 34 'rốn ngập'</x:v>
      </x:c>
      <x:c r="C9" s="30" t="str">
        <x:v>VietnamNet; attributes figures to HCMC Department of Construction</x:v>
      </x:c>
      <x:c r="D9" s="72" t="n">
        <x:v>46198</x:v>
      </x:c>
      <x:c r="E9" s="30" t="str">
        <x:v>Current evidence: 34 roads; 26 rain and 8 tidal</x:v>
      </x:c>
      <x:c r="F9" s="30" t="str">
        <x:v>https://vietnamnet.vn/so-xay-dung-tphcm-diem-danh-34-ron-ngap-2529419.html</x:v>
      </x:c>
      <x:c r="G9" s="72" t="n">
        <x:v>46219</x:v>
      </x:c>
      <x:c r="H9" s="30" t="str">
        <x:v>Medium-high</x:v>
      </x:c>
      <x:c r="I9" s="30" t="str">
        <x:v>Secondary report of official press briefing</x:v>
      </x:c>
    </x:row>
    <x:row r="10">
      <x:c r="A10" s="30" t="str">
        <x:v>S05</x:v>
      </x:c>
      <x:c r="B10" s="30" t="str">
        <x:v>Tình hình giao thông mùa mưa bão ngày 05/08/2025</x:v>
      </x:c>
      <x:c r="C10" s="30" t="str">
        <x:v>Phòng CSGT Công an TP.HCM</x:v>
      </x:c>
      <x:c r="D10" s="72" t="n">
        <x:v>45875</x:v>
      </x:c>
      <x:c r="E10" s="30" t="str">
        <x:v>Observed congestion/flood disruption and detours</x:v>
      </x:c>
      <x:c r="F10" s="30" t="str">
        <x:v>https://csgt-congan.hochiminhcity.gov.vn/wps/portal/Home/trang-chu/noi-dung-chi-tiet/tin-giao-thong/rc_giaothongmuamuabao</x:v>
      </x:c>
      <x:c r="G10" s="72" t="n">
        <x:v>46219</x:v>
      </x:c>
      <x:c r="H10" s="30" t="str">
        <x:v>High</x:v>
      </x:c>
      <x:c r="I10" s="30" t="str">
        <x:v>Operational evidence</x:v>
      </x:c>
    </x:row>
    <x:row r="11">
      <x:c r="A11" s="30" t="str">
        <x:v>S06</x:v>
      </x:c>
      <x:c r="B11" s="30" t="str">
        <x:v>TPHCM chỉ còn một điểm đen giao thông tại Vành đai 2, khu vực cảng Cát Lái</x:v>
      </x:c>
      <x:c r="C11" s="30" t="str">
        <x:v>Trung tâm Báo chí TP.HCM</x:v>
      </x:c>
      <x:c r="D11" s="72" t="n">
        <x:v>45794</x:v>
      </x:c>
      <x:c r="E11" s="30" t="str">
        <x:v>23 congestion-risk points; 9 remained complex</x:v>
      </x:c>
      <x:c r="F11" s="30" t="str">
        <x:v>https://ttbc-hcm.gov.vn/tphcm-chi-con-mot-diem-den-giao-thong-tai-duong-vanh-dai-2-khu-vuc-cang-cat-lai-1018711.html</x:v>
      </x:c>
      <x:c r="G11" s="72" t="n">
        <x:v>46219</x:v>
      </x:c>
      <x:c r="H11" s="30" t="str">
        <x:v>High</x:v>
      </x:c>
      <x:c r="I11" s="30" t="str">
        <x:v>City-level context</x:v>
      </x:c>
    </x:row>
    <x:row r="12">
      <x:c r="A12" s="30" t="str">
        <x:v>S07</x:v>
      </x:c>
      <x:c r="B12" s="30" t="str">
        <x:v>Strengthening Vietnam's Trucking Sector</x:v>
      </x:c>
      <x:c r="C12" s="30" t="str">
        <x:v>World Bank</x:v>
      </x:c>
      <x:c r="D12" s="72" t="n">
        <x:v>43586</x:v>
      </x:c>
      <x:c r="E12" s="30" t="str">
        <x:v>Suboptimal route planning and congestion affect logistics productivity</x:v>
      </x:c>
      <x:c r="F12" s="30" t="str">
        <x:v>https://documents1.worldbank.org/curated/en/165301554201962827/pdf/Strengthening-Vietnam-s-Trucking-Sector-Towards-Lower-Logistics-Costs-and-Greenhouse-Gas-Emissions.pdf</x:v>
      </x:c>
      <x:c r="G12" s="72" t="n">
        <x:v>46219</x:v>
      </x:c>
      <x:c r="H12" s="30" t="str">
        <x:v>High</x:v>
      </x:c>
      <x:c r="I12" s="30" t="str">
        <x:v>Urban logistics evidence</x:v>
      </x:c>
    </x:row>
    <x:row r="13">
      <x:c r="A13" s="30" t="str">
        <x:v>S08</x:v>
      </x:c>
      <x:c r="B13" s="30" t="str">
        <x:v>Second Ho Chi Minh City Development Policy Operation</x:v>
      </x:c>
      <x:c r="C13" s="30" t="str">
        <x:v>World Bank</x:v>
      </x:c>
      <x:c r="D13" s="72" t="n">
        <x:v>44349</x:v>
      </x:c>
      <x:c r="E13" s="30" t="str">
        <x:v>Traffic congestion and urban flooding as core city challenges</x:v>
      </x:c>
      <x:c r="F13" s="30" t="str">
        <x:v>https://documents1.worldbank.org/curated/en/529611625277798053/pdf/Vietnam-Second-Ho-Chi-Minh-City-Development-Policy-Operation.pdf</x:v>
      </x:c>
      <x:c r="G13" s="72" t="n">
        <x:v>46219</x:v>
      </x:c>
      <x:c r="H13" s="30" t="str">
        <x:v>High</x:v>
      </x:c>
      <x:c r="I13" s="30" t="str">
        <x:v>Policy context</x:v>
      </x:c>
    </x:row>
    <x:row r="14">
      <x:c r="A14" s="30" t="str">
        <x:v>S09</x:v>
      </x:c>
      <x:c r="B14" s="30" t="str">
        <x:v>Overpass API</x:v>
      </x:c>
      <x:c r="C14" s="30" t="str">
        <x:v>OpenStreetMap Wiki</x:v>
      </x:c>
      <x:c r="D14" s="72" t="n">
        <x:v>45617</x:v>
      </x:c>
      <x:c r="E14" s="30" t="str">
        <x:v>Query engine for OSM data</x:v>
      </x:c>
      <x:c r="F14" s="30" t="str">
        <x:v>https://wiki.openstreetmap.org/wiki/Overpass_API</x:v>
      </x:c>
      <x:c r="G14" s="72" t="n">
        <x:v>46219</x:v>
      </x:c>
      <x:c r="H14" s="30" t="str">
        <x:v>High for technical documentation</x:v>
      </x:c>
      <x:c r="I14" s="30" t="str">
        <x:v>Use public instance responsibly</x:v>
      </x:c>
    </x:row>
    <x:row r="15">
      <x:c r="A15" s="30" t="str">
        <x:v>S10</x:v>
      </x:c>
      <x:c r="B15" s="30" t="str">
        <x:v>Copyright and License</x:v>
      </x:c>
      <x:c r="C15" s="30" t="str">
        <x:v>OpenStreetMap Foundation</x:v>
      </x:c>
      <x:c r="D15" s="72"/>
      <x:c r="E15" s="30" t="str">
        <x:v>ODbL attribution and reuse requirements</x:v>
      </x:c>
      <x:c r="F15" s="30" t="str">
        <x:v>https://www.openstreetmap.org/copyright</x:v>
      </x:c>
      <x:c r="G15" s="72" t="n">
        <x:v>46219</x:v>
      </x:c>
      <x:c r="H15" s="30" t="str">
        <x:v>Primary license source</x:v>
      </x:c>
      <x:c r="I15" s="30" t="str">
        <x:v>Attribution required</x:v>
      </x:c>
    </x:row>
    <x:row r="16">
      <x:c r="A16" s="30" t="str">
        <x:v>S11</x:v>
      </x:c>
      <x:c r="B16" s="30" t="str">
        <x:v>OSMnx Getting Started</x:v>
      </x:c>
      <x:c r="C16" s="30" t="str">
        <x:v>OSMnx documentation</x:v>
      </x:c>
      <x:c r="D16" s="72"/>
      <x:c r="E16" s="30" t="str">
        <x:v>Street graph extraction, simplification, travel-time attributes and export</x:v>
      </x:c>
      <x:c r="F16" s="30" t="str">
        <x:v>https://osmnx.readthedocs.io/en/stable/getting-started.html</x:v>
      </x:c>
      <x:c r="G16" s="72" t="n">
        <x:v>46219</x:v>
      </x:c>
      <x:c r="H16" s="30" t="str">
        <x:v>High for implementation</x:v>
      </x:c>
      <x:c r="I16" s="30" t="str">
        <x:v>Pin package/version in report</x:v>
      </x:c>
    </x:row>
    <x:row r="17">
      <x:c r="A17" s="30" t="str">
        <x:v>S12</x:v>
      </x:c>
      <x:c r="B17" s="30" t="str">
        <x:v>The Time-Dependent Shortest Path and Vehicle Routing Problem</x:v>
      </x:c>
      <x:c r="C17" s="30" t="str">
        <x:v>Jaballah, Veenstra, Coelho &amp; Renaud / CIRRELT</x:v>
      </x:c>
      <x:c r="D17" s="72" t="n">
        <x:v>43525</x:v>
      </x:c>
      <x:c r="E17" s="30" t="str">
        <x:v>Academic foundation for time-dependent routing and visiting order</x:v>
      </x:c>
      <x:c r="F17" s="30" t="str">
        <x:v>https://www.cirrelt.ca/documentstravail/cirrelt-2019-12.pdf</x:v>
      </x:c>
      <x:c r="G17" s="72" t="n">
        <x:v>46219</x:v>
      </x:c>
      <x:c r="H17" s="30" t="str">
        <x:v>Peer research / working paper</x:v>
      </x:c>
      <x:c r="I17" s="30" t="str">
        <x:v>Use for formal problem framing</x:v>
      </x:c>
    </x:row>
    <x:row r="18">
      <x:c r="A18" s="30" t="str">
        <x:v>S13</x:v>
      </x:c>
      <x:c r="B18" s="30" t="str">
        <x:v>Routes API Usage and Billing</x:v>
      </x:c>
      <x:c r="C18" s="30" t="str">
        <x:v>Google for Developers</x:v>
      </x:c>
      <x:c r="D18" s="72"/>
      <x:c r="E18" s="30" t="str">
        <x:v>Billing/quota constraints; reason not to depend on Google as core engine</x:v>
      </x:c>
      <x:c r="F18" s="30" t="str">
        <x:v>https://developers.google.com/maps/documentation/routes/usage-and-billing</x:v>
      </x:c>
      <x:c r="G18" s="72" t="n">
        <x:v>46219</x:v>
      </x:c>
      <x:c r="H18" s="30" t="str">
        <x:v>Primary product documentation</x:v>
      </x:c>
      <x:c r="I18" s="30" t="str">
        <x:v>Traffic-aware and two-wheel features may change SKU</x:v>
      </x:c>
    </x:row>
    <x:row r="19">
      <x:c r="A19" s="30" t="str">
        <x:v>S14</x:v>
      </x:c>
      <x:c r="B19" s="30" t="str">
        <x:v>TP.HCM chuẩn bị trước mùa ngập</x:v>
      </x:c>
      <x:c r="C19" s="30" t="str">
        <x:v>Trung tâm Báo chí TP.HCM</x:v>
      </x:c>
      <x:c r="D19" s="72" t="n">
        <x:v>45426</x:v>
      </x:c>
      <x:c r="E19" s="30" t="str">
        <x:v>List of main flood-prone roads and limitation of official lists</x:v>
      </x:c>
      <x:c r="F19" s="30" t="str">
        <x:v>https://ttbc-hcm.gov.vn/tp-hcm-chuan-bi-truoc-mua-ngap-1001052.html</x:v>
      </x:c>
      <x:c r="G19" s="72" t="n">
        <x:v>46219</x:v>
      </x:c>
      <x:c r="H19" s="30" t="str">
        <x:v>High</x:v>
      </x:c>
      <x:c r="I19" s="30" t="str">
        <x:v>Supporting context</x:v>
      </x:c>
    </x:row>
    <x:row r="20">
      <x:c r="A20" s="31" t="str">
        <x:v>S15</x:v>
      </x:c>
      <x:c r="B20" s="31" t="str">
        <x:v>Project simulation assumptions</x:v>
      </x:c>
      <x:c r="C20" s="31" t="str">
        <x:v>FloodRoute project team</x:v>
      </x:c>
      <x:c r="D20" s="73" t="n">
        <x:v>46219</x:v>
      </x:c>
      <x:c r="E20" s="31" t="str">
        <x:v>Traffic multipliers, cost presets and risk thresholds</x:v>
      </x:c>
      <x:c r="F20" s="31" t="str">
        <x:v>Internal workbook: Assumptions / Traffic Scenarios / Cost Weights</x:v>
      </x:c>
      <x:c r="G20" s="73" t="n">
        <x:v>46219</x:v>
      </x:c>
      <x:c r="H20" s="31" t="str">
        <x:v>Not external evidence</x:v>
      </x:c>
      <x:c r="I20" s="31" t="str">
        <x:v>Must be labelled SIMULATED or ASSUMPTION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160baea5cd94e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6" hidden="0" customWidth="1"/>
    <x:col min="4" max="4" width="13" hidden="0" customWidth="1"/>
    <x:col min="5" max="5" width="18" hidden="0" customWidth="1"/>
    <x:col min="6" max="6" width="32" hidden="0" customWidth="1"/>
    <x:col min="7" max="7" width="20" hidden="0" customWidth="1"/>
    <x:col min="8" max="8" width="36" hidden="0" customWidth="1"/>
  </x:cols>
  <x:sheetData>
    <x:row r="1" ht="34" customHeight="1">
      <x:c r="A1" s="3" t="str">
        <x:v>DATA DICTIONARY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Kiểu dữ liệu, đơn vị, nguồn và quy tắc kiểm tra cho các bảng cốt lõi.</x:v>
      </x:c>
      <x:c r="B2" s="7"/>
      <x:c r="C2" s="7"/>
      <x:c r="D2" s="7"/>
      <x:c r="E2" s="7"/>
      <x:c r="F2" s="7"/>
      <x:c r="G2" s="7"/>
      <x:c r="H2" s="7"/>
    </x:row>
    <x:row r="5" ht="30" customHeight="1">
      <x:c r="A5" s="21" t="str">
        <x:v>table</x:v>
      </x:c>
      <x:c r="B5" s="21" t="str">
        <x:v>field</x:v>
      </x:c>
      <x:c r="C5" s="21" t="str">
        <x:v>type</x:v>
      </x:c>
      <x:c r="D5" s="21" t="str">
        <x:v>unit</x:v>
      </x:c>
      <x:c r="E5" s="21" t="str">
        <x:v>requirement</x:v>
      </x:c>
      <x:c r="F5" s="21" t="str">
        <x:v>validation_rule</x:v>
      </x:c>
      <x:c r="G5" s="21" t="str">
        <x:v>source</x:v>
      </x:c>
      <x:c r="H5" s="21" t="str">
        <x:v>notes</x:v>
      </x:c>
    </x:row>
    <x:row r="6">
      <x:c r="A6" s="29" t="str">
        <x:v>Flood Hotspots</x:v>
      </x:c>
      <x:c r="B6" s="29" t="str">
        <x:v>record_id</x:v>
      </x:c>
      <x:c r="C6" s="29" t="str">
        <x:v>text</x:v>
      </x:c>
      <x:c r="D6" s="29"/>
      <x:c r="E6" s="29" t="str">
        <x:v>Unique</x:v>
      </x:c>
      <x:c r="F6" s="29" t="str">
        <x:v>Mã FH2025-xxx</x:v>
      </x:c>
      <x:c r="G6" s="29" t="str">
        <x:v>Derived</x:v>
      </x:c>
      <x:c r="H6" s="29" t="str">
        <x:v>Primary key</x:v>
      </x:c>
    </x:row>
    <x:row r="7">
      <x:c r="A7" s="30" t="str">
        <x:v>Flood Hotspots</x:v>
      </x:c>
      <x:c r="B7" s="30" t="str">
        <x:v>road_name</x:v>
      </x:c>
      <x:c r="C7" s="30" t="str">
        <x:v>text</x:v>
      </x:c>
      <x:c r="D7" s="30"/>
      <x:c r="E7" s="30" t="str">
        <x:v>Required</x:v>
      </x:c>
      <x:c r="F7" s="30" t="str">
        <x:v>Giữ chính tả theo nguồn</x:v>
      </x:c>
      <x:c r="G7" s="30" t="str">
        <x:v>S03</x:v>
      </x:c>
      <x:c r="H7" s="30" t="str">
        <x:v>Dùng map-matching</x:v>
      </x:c>
    </x:row>
    <x:row r="8">
      <x:c r="A8" s="30" t="str">
        <x:v>Flood Hotspots</x:v>
      </x:c>
      <x:c r="B8" s="30" t="str">
        <x:v>legacy_ward</x:v>
      </x:c>
      <x:c r="C8" s="30" t="str">
        <x:v>text</x:v>
      </x:c>
      <x:c r="D8" s="30"/>
      <x:c r="E8" s="30" t="str">
        <x:v>Required</x:v>
      </x:c>
      <x:c r="F8" s="30" t="str">
        <x:v>Tên phường tại thời điểm 2025</x:v>
      </x:c>
      <x:c r="G8" s="30" t="str">
        <x:v>S03</x:v>
      </x:c>
      <x:c r="H8" s="30" t="str">
        <x:v>Không tự đổi sang tên mới</x:v>
      </x:c>
    </x:row>
    <x:row r="9">
      <x:c r="A9" s="30" t="str">
        <x:v>Flood Hotspots</x:v>
      </x:c>
      <x:c r="B9" s="30" t="str">
        <x:v>depth_min_cm</x:v>
      </x:c>
      <x:c r="C9" s="30" t="str">
        <x:v>number</x:v>
      </x:c>
      <x:c r="D9" s="30" t="str">
        <x:v>cm</x:v>
      </x:c>
      <x:c r="E9" s="30" t="str">
        <x:v>Nullable</x:v>
      </x:c>
      <x:c r="F9" s="30" t="str">
        <x:v>&gt;=0</x:v>
      </x:c>
      <x:c r="G9" s="30" t="str">
        <x:v>S03</x:v>
      </x:c>
      <x:c r="H9" s="30" t="str">
        <x:v>Không suy diễn nếu nguồn chỉ nói ngập nhẹ</x:v>
      </x:c>
    </x:row>
    <x:row r="10">
      <x:c r="A10" s="30" t="str">
        <x:v>Flood Hotspots</x:v>
      </x:c>
      <x:c r="B10" s="30" t="str">
        <x:v>depth_max_cm</x:v>
      </x:c>
      <x:c r="C10" s="30" t="str">
        <x:v>number</x:v>
      </x:c>
      <x:c r="D10" s="30" t="str">
        <x:v>cm</x:v>
      </x:c>
      <x:c r="E10" s="30" t="str">
        <x:v>Nullable</x:v>
      </x:c>
      <x:c r="F10" s="30" t="str">
        <x:v>&gt;= depth_min_cm</x:v>
      </x:c>
      <x:c r="G10" s="30" t="str">
        <x:v>S03</x:v>
      </x:c>
      <x:c r="H10" s="30" t="str">
        <x:v>Dùng cho risk proposal</x:v>
      </x:c>
    </x:row>
    <x:row r="11">
      <x:c r="A11" s="30" t="str">
        <x:v>Flood Hotspots</x:v>
      </x:c>
      <x:c r="B11" s="30" t="str">
        <x:v>depth_mid_cm</x:v>
      </x:c>
      <x:c r="C11" s="30" t="str">
        <x:v>formula</x:v>
      </x:c>
      <x:c r="D11" s="30" t="str">
        <x:v>cm</x:v>
      </x:c>
      <x:c r="E11" s="30" t="str">
        <x:v>Derived</x:v>
      </x:c>
      <x:c r="F11" s="30" t="str">
        <x:v>Average min/max</x:v>
      </x:c>
      <x:c r="G11" s="30" t="str">
        <x:v>Workbook formula</x:v>
      </x:c>
      <x:c r="H11" s="30" t="str">
        <x:v>Blank nếu thiếu cả hai</x:v>
      </x:c>
    </x:row>
    <x:row r="12">
      <x:c r="A12" s="30" t="str">
        <x:v>Flood Hotspots</x:v>
      </x:c>
      <x:c r="B12" s="30" t="str">
        <x:v>affected_length_m</x:v>
      </x:c>
      <x:c r="C12" s="30" t="str">
        <x:v>number</x:v>
      </x:c>
      <x:c r="D12" s="30" t="str">
        <x:v>m</x:v>
      </x:c>
      <x:c r="E12" s="30" t="str">
        <x:v>Nullable</x:v>
      </x:c>
      <x:c r="F12" s="30" t="str">
        <x:v>&gt;=0</x:v>
      </x:c>
      <x:c r="G12" s="30" t="str">
        <x:v>S03</x:v>
      </x:c>
      <x:c r="H12" s="30" t="str">
        <x:v>Phạm vi đoạn bị ảnh hưởng</x:v>
      </x:c>
    </x:row>
    <x:row r="13">
      <x:c r="A13" s="30" t="str">
        <x:v>Flood Hotspots</x:v>
      </x:c>
      <x:c r="B13" s="30" t="str">
        <x:v>drainage_time_min</x:v>
      </x:c>
      <x:c r="C13" s="30" t="str">
        <x:v>number</x:v>
      </x:c>
      <x:c r="D13" s="30" t="str">
        <x:v>min</x:v>
      </x:c>
      <x:c r="E13" s="30" t="str">
        <x:v>Nullable</x:v>
      </x:c>
      <x:c r="F13" s="30" t="str">
        <x:v>&gt;=0</x:v>
      </x:c>
      <x:c r="G13" s="30" t="str">
        <x:v>S03</x:v>
      </x:c>
      <x:c r="H13" s="30" t="str">
        <x:v>Thời gian rút nước nếu nguồn nêu</x:v>
      </x:c>
    </x:row>
    <x:row r="14">
      <x:c r="A14" s="30" t="str">
        <x:v>Flood Hotspots</x:v>
      </x:c>
      <x:c r="B14" s="30" t="str">
        <x:v>proposed_risk_level</x:v>
      </x:c>
      <x:c r="C14" s="30" t="str">
        <x:v>formula</x:v>
      </x:c>
      <x:c r="D14" s="30"/>
      <x:c r="E14" s="30" t="str">
        <x:v>Derived</x:v>
      </x:c>
      <x:c r="F14" s="30" t="str">
        <x:v>Theo Assumptions!B6:B8</x:v>
      </x:c>
      <x:c r="G14" s="30" t="str">
        <x:v>S15</x:v>
      </x:c>
      <x:c r="H14" s="30" t="str">
        <x:v>Không phải khuyến cáo chính thức</x:v>
      </x:c>
    </x:row>
    <x:row r="15">
      <x:c r="A15" s="30" t="str">
        <x:v>Flood Hotspots</x:v>
      </x:c>
      <x:c r="B15" s="30" t="str">
        <x:v>mapping_status</x:v>
      </x:c>
      <x:c r="C15" s="30" t="str">
        <x:v>enum</x:v>
      </x:c>
      <x:c r="D15" s="30"/>
      <x:c r="E15" s="30" t="str">
        <x:v>Required</x:v>
      </x:c>
      <x:c r="F15" s="30" t="str">
        <x:v>Pending/Matched/Verified/Excluded</x:v>
      </x:c>
      <x:c r="G15" s="30" t="str">
        <x:v>Project workflow</x:v>
      </x:c>
      <x:c r="H15" s="30" t="str">
        <x:v>Verified cần hai người duyệt</x:v>
      </x:c>
    </x:row>
    <x:row r="16">
      <x:c r="A16" s="30" t="str">
        <x:v>Traffic Scenarios</x:v>
      </x:c>
      <x:c r="B16" s="30" t="str">
        <x:v>speed_multiplier</x:v>
      </x:c>
      <x:c r="C16" s="30" t="str">
        <x:v>number</x:v>
      </x:c>
      <x:c r="D16" s="30" t="str">
        <x:v>ratio</x:v>
      </x:c>
      <x:c r="E16" s="30" t="str">
        <x:v>Required</x:v>
      </x:c>
      <x:c r="F16" s="30" t="str">
        <x:v>0 &lt; x &lt;= 1</x:v>
      </x:c>
      <x:c r="G16" s="30" t="str">
        <x:v>S15</x:v>
      </x:c>
      <x:c r="H16" s="30" t="str">
        <x:v>SIMULATED</x:v>
      </x:c>
    </x:row>
    <x:row r="17">
      <x:c r="A17" s="30" t="str">
        <x:v>Traffic Scenarios</x:v>
      </x:c>
      <x:c r="B17" s="30" t="str">
        <x:v>flood_penalty_multiplier</x:v>
      </x:c>
      <x:c r="C17" s="30" t="str">
        <x:v>number</x:v>
      </x:c>
      <x:c r="D17" s="30" t="str">
        <x:v>ratio</x:v>
      </x:c>
      <x:c r="E17" s="30" t="str">
        <x:v>Required</x:v>
      </x:c>
      <x:c r="F17" s="30" t="str">
        <x:v>&gt;=1</x:v>
      </x:c>
      <x:c r="G17" s="30" t="str">
        <x:v>S15</x:v>
      </x:c>
      <x:c r="H17" s="30" t="str">
        <x:v>SIMULATED</x:v>
      </x:c>
    </x:row>
    <x:row r="18">
      <x:c r="A18" s="30" t="str">
        <x:v>Cost Weights</x:v>
      </x:c>
      <x:c r="B18" s="30" t="str">
        <x:v>alpha/beta/gamma/delta</x:v>
      </x:c>
      <x:c r="C18" s="30" t="str">
        <x:v>number</x:v>
      </x:c>
      <x:c r="D18" s="30" t="str">
        <x:v>share</x:v>
      </x:c>
      <x:c r="E18" s="30" t="str">
        <x:v>Required</x:v>
      </x:c>
      <x:c r="F18" s="30" t="str">
        <x:v>Each 0..1; sum=1</x:v>
      </x:c>
      <x:c r="G18" s="30" t="str">
        <x:v>S15</x:v>
      </x:c>
      <x:c r="H18" s="30" t="str">
        <x:v>Inputs for normalized cost</x:v>
      </x:c>
    </x:row>
    <x:row r="19">
      <x:c r="A19" s="30" t="str">
        <x:v>Road Nodes</x:v>
      </x:c>
      <x:c r="B19" s="30" t="str">
        <x:v>osm_node_id</x:v>
      </x:c>
      <x:c r="C19" s="30" t="str">
        <x:v>text/integer</x:v>
      </x:c>
      <x:c r="D19" s="30"/>
      <x:c r="E19" s="30" t="str">
        <x:v>Required</x:v>
      </x:c>
      <x:c r="F19" s="30" t="str">
        <x:v>Unique within snapshot</x:v>
      </x:c>
      <x:c r="G19" s="30" t="str">
        <x:v>S09/S11</x:v>
      </x:c>
      <x:c r="H19" s="30" t="str">
        <x:v>Keep raw OSM ID</x:v>
      </x:c>
    </x:row>
    <x:row r="20">
      <x:c r="A20" s="30" t="str">
        <x:v>Road Nodes</x:v>
      </x:c>
      <x:c r="B20" s="30" t="str">
        <x:v>latitude/longitude</x:v>
      </x:c>
      <x:c r="C20" s="30" t="str">
        <x:v>number</x:v>
      </x:c>
      <x:c r="D20" s="30" t="str">
        <x:v>WGS84</x:v>
      </x:c>
      <x:c r="E20" s="30" t="str">
        <x:v>Required</x:v>
      </x:c>
      <x:c r="F20" s="30" t="str">
        <x:v>Valid coordinate range</x:v>
      </x:c>
      <x:c r="G20" s="30" t="str">
        <x:v>S09/S11</x:v>
      </x:c>
      <x:c r="H20" s="30" t="str">
        <x:v>Snapshot-bound</x:v>
      </x:c>
    </x:row>
    <x:row r="21">
      <x:c r="A21" s="30" t="str">
        <x:v>Road Edges</x:v>
      </x:c>
      <x:c r="B21" s="30" t="str">
        <x:v>from_node_id/to_node_id</x:v>
      </x:c>
      <x:c r="C21" s="30" t="str">
        <x:v>text</x:v>
      </x:c>
      <x:c r="D21" s="30"/>
      <x:c r="E21" s="30" t="str">
        <x:v>Required</x:v>
      </x:c>
      <x:c r="F21" s="30" t="str">
        <x:v>Must exist in Road Nodes</x:v>
      </x:c>
      <x:c r="G21" s="30" t="str">
        <x:v>S11</x:v>
      </x:c>
      <x:c r="H21" s="30" t="str">
        <x:v>Directed edge</x:v>
      </x:c>
    </x:row>
    <x:row r="22">
      <x:c r="A22" s="30" t="str">
        <x:v>Road Edges</x:v>
      </x:c>
      <x:c r="B22" s="30" t="str">
        <x:v>distance_m</x:v>
      </x:c>
      <x:c r="C22" s="30" t="str">
        <x:v>number</x:v>
      </x:c>
      <x:c r="D22" s="30" t="str">
        <x:v>m</x:v>
      </x:c>
      <x:c r="E22" s="30" t="str">
        <x:v>Required</x:v>
      </x:c>
      <x:c r="F22" s="30" t="str">
        <x:v>&gt;0</x:v>
      </x:c>
      <x:c r="G22" s="30" t="str">
        <x:v>S11</x:v>
      </x:c>
      <x:c r="H22" s="30" t="str">
        <x:v>Geometry-derived</x:v>
      </x:c>
    </x:row>
    <x:row r="23">
      <x:c r="A23" s="30" t="str">
        <x:v>Road Edges</x:v>
      </x:c>
      <x:c r="B23" s="30" t="str">
        <x:v>free_flow_time_min</x:v>
      </x:c>
      <x:c r="C23" s="30" t="str">
        <x:v>formula</x:v>
      </x:c>
      <x:c r="D23" s="30" t="str">
        <x:v>min</x:v>
      </x:c>
      <x:c r="E23" s="30" t="str">
        <x:v>Derived</x:v>
      </x:c>
      <x:c r="F23" s="30" t="str">
        <x:v>distance / speed</x:v>
      </x:c>
      <x:c r="G23" s="30" t="str">
        <x:v>Project formula</x:v>
      </x:c>
      <x:c r="H23" s="30" t="str">
        <x:v>No congestion included</x:v>
      </x:c>
    </x:row>
    <x:row r="24">
      <x:c r="A24" s="30" t="str">
        <x:v>Road Edges</x:v>
      </x:c>
      <x:c r="B24" s="30" t="str">
        <x:v>flood_hotspot_id</x:v>
      </x:c>
      <x:c r="C24" s="30" t="str">
        <x:v>text</x:v>
      </x:c>
      <x:c r="D24" s="30"/>
      <x:c r="E24" s="30" t="str">
        <x:v>Nullable</x:v>
      </x:c>
      <x:c r="F24" s="30" t="str">
        <x:v>Must exist in Flood Hotspots</x:v>
      </x:c>
      <x:c r="G24" s="30" t="str">
        <x:v>Map-matching</x:v>
      </x:c>
      <x:c r="H24" s="30" t="str">
        <x:v>Two-person review</x:v>
      </x:c>
    </x:row>
    <x:row r="25">
      <x:c r="A25" s="31" t="str">
        <x:v>Delivery Points</x:v>
      </x:c>
      <x:c r="B25" s="31" t="str">
        <x:v>snap_node_id</x:v>
      </x:c>
      <x:c r="C25" s="31" t="str">
        <x:v>text</x:v>
      </x:c>
      <x:c r="D25" s="31"/>
      <x:c r="E25" s="31" t="str">
        <x:v>Required after selection</x:v>
      </x:c>
      <x:c r="F25" s="31" t="str">
        <x:v>Must exist in Road Nodes</x:v>
      </x:c>
      <x:c r="G25" s="31" t="str">
        <x:v>Project workflow</x:v>
      </x:c>
      <x:c r="H25" s="31" t="str">
        <x:v>Save snap distance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858d3c95cf2449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14" hidden="0" customWidth="1"/>
    <x:col min="4" max="4" width="14" hidden="0" customWidth="1"/>
    <x:col min="5" max="5" width="16" hidden="0" customWidth="1"/>
    <x:col min="6" max="6" width="45" hidden="0" customWidth="1"/>
  </x:cols>
  <x:sheetData>
    <x:row r="1" ht="34" customHeight="1">
      <x:c r="A1" s="3" t="str">
        <x:v>DATASET VALIDATION</x:v>
      </x:c>
      <x:c r="B1" s="3"/>
      <x:c r="C1" s="3"/>
      <x:c r="D1" s="3"/>
      <x:c r="E1" s="3"/>
      <x:c r="F1" s="3"/>
    </x:row>
    <x:row r="2" ht="32" customHeight="1">
      <x:c r="A2" s="7" t="str">
        <x:v>Các kiểm tra tự động cho phiên bản v0.1. Ô vàng là công việc còn thiếu có chủ đích, không phải dữ liệu bị mất do lỗi.</x:v>
      </x:c>
      <x:c r="B2" s="7"/>
      <x:c r="C2" s="7"/>
      <x:c r="D2" s="7"/>
      <x:c r="E2" s="7"/>
      <x:c r="F2" s="7"/>
    </x:row>
    <x:row r="5" ht="30" customHeight="1">
      <x:c r="A5" s="21" t="str">
        <x:v>check_id</x:v>
      </x:c>
      <x:c r="B5" s="21" t="str">
        <x:v>metric</x:v>
      </x:c>
      <x:c r="C5" s="21" t="str">
        <x:v>actual</x:v>
      </x:c>
      <x:c r="D5" s="21" t="str">
        <x:v>expected</x:v>
      </x:c>
      <x:c r="E5" s="21" t="str">
        <x:v>result</x:v>
      </x:c>
      <x:c r="F5" s="21" t="str">
        <x:v>interpretation</x:v>
      </x:c>
    </x:row>
    <x:row r="6">
      <x:c r="A6" s="29" t="str">
        <x:v>V01</x:v>
      </x:c>
      <x:c r="B6" s="29" t="str">
        <x:v>Flood hotspot record count</x:v>
      </x:c>
      <x:c r="C6" s="32" t="n">
        <x:f>COUNTA('Flood Hotspots'!A6:A29)</x:f>
        <x:v>24</x:v>
      </x:c>
      <x:c r="D6" s="32" t="n">
        <x:v>24</x:v>
      </x:c>
      <x:c r="E6" s="32" t="str">
        <x:f>IF(C6=D6,"PASS","CHECK")</x:f>
        <x:v>PASS</x:v>
      </x:c>
      <x:c r="F6" s="29" t="str">
        <x:v>Must match the 24-item source list</x:v>
      </x:c>
    </x:row>
    <x:row r="7">
      <x:c r="A7" s="30" t="str">
        <x:v>V02</x:v>
      </x:c>
      <x:c r="B7" s="30" t="str">
        <x:v>Rows missing depth_max_cm</x:v>
      </x:c>
      <x:c r="C7" s="33" t="n">
        <x:f>COUNTBLANK('Flood Hotspots'!G6:G29)</x:f>
        <x:v>16</x:v>
      </x:c>
      <x:c r="D7" s="33" t="n">
        <x:v>0</x:v>
      </x:c>
      <x:c r="E7" s="33" t="str">
        <x:v>INFO</x:v>
      </x:c>
      <x:c r="F7" s="30" t="str">
        <x:v>Expected: source does not quantify every record</x:v>
      </x:c>
    </x:row>
    <x:row r="8">
      <x:c r="A8" s="30" t="str">
        <x:v>V03</x:v>
      </x:c>
      <x:c r="B8" s="30" t="str">
        <x:v>Rows missing affected_length_m</x:v>
      </x:c>
      <x:c r="C8" s="33" t="n">
        <x:f>COUNTBLANK('Flood Hotspots'!I6:I29)</x:f>
        <x:v>3</x:v>
      </x:c>
      <x:c r="D8" s="33" t="n">
        <x:v>0</x:v>
      </x:c>
      <x:c r="E8" s="33" t="str">
        <x:v>INFO</x:v>
      </x:c>
      <x:c r="F8" s="30" t="str">
        <x:v>Expected: some descriptions omit length</x:v>
      </x:c>
    </x:row>
    <x:row r="9">
      <x:c r="A9" s="30" t="str">
        <x:v>V04</x:v>
      </x:c>
      <x:c r="B9" s="30" t="str">
        <x:v>Rows missing drainage_time_min</x:v>
      </x:c>
      <x:c r="C9" s="33" t="n">
        <x:f>COUNTBLANK('Flood Hotspots'!J6:J29)</x:f>
        <x:v>21</x:v>
      </x:c>
      <x:c r="D9" s="33" t="n">
        <x:v>0</x:v>
      </x:c>
      <x:c r="E9" s="33" t="str">
        <x:v>INFO</x:v>
      </x:c>
      <x:c r="F9" s="30" t="str">
        <x:v>Expected: most descriptions omit duration</x:v>
      </x:c>
    </x:row>
    <x:row r="10">
      <x:c r="A10" s="30" t="str">
        <x:v>V05</x:v>
      </x:c>
      <x:c r="B10" s="30" t="str">
        <x:v>Rows pending map-matching</x:v>
      </x:c>
      <x:c r="C10" s="33" t="n">
        <x:f>COUNTIF('Flood Hotspots'!Q6:Q29,"Pending")</x:f>
        <x:v>24</x:v>
      </x:c>
      <x:c r="D10" s="33" t="n">
        <x:v>0</x:v>
      </x:c>
      <x:c r="E10" s="33" t="str">
        <x:f>IF(C10=D10,"PASS","PENDING")</x:f>
        <x:v>PENDING</x:v>
      </x:c>
      <x:c r="F10" s="30" t="str">
        <x:v>Must reach zero before dataset v1.0</x:v>
      </x:c>
    </x:row>
    <x:row r="11">
      <x:c r="A11" s="30" t="str">
        <x:v>V06</x:v>
      </x:c>
      <x:c r="B11" s="30" t="str">
        <x:v>Cost preset rows</x:v>
      </x:c>
      <x:c r="C11" s="33" t="n">
        <x:f>COUNTA('Cost Weights'!A6:A8)</x:f>
        <x:v>3</x:v>
      </x:c>
      <x:c r="D11" s="33" t="n">
        <x:v>3</x:v>
      </x:c>
      <x:c r="E11" s="33" t="str">
        <x:f>IF(C11=D11,"PASS","CHECK")</x:f>
        <x:v>PASS</x:v>
      </x:c>
      <x:c r="F11" s="30" t="str">
        <x:v>Three baseline presets</x:v>
      </x:c>
    </x:row>
    <x:row r="12">
      <x:c r="A12" s="30" t="str">
        <x:v>V07</x:v>
      </x:c>
      <x:c r="B12" s="30" t="str">
        <x:v>Cost presets with weight_sum != 1</x:v>
      </x:c>
      <x:c r="C12" s="33" t="n">
        <x:f>COUNTIF('Cost Weights'!H6:H8,"CHECK")</x:f>
        <x:v>0</x:v>
      </x:c>
      <x:c r="D12" s="33" t="n">
        <x:v>0</x:v>
      </x:c>
      <x:c r="E12" s="33" t="str">
        <x:f>IF(C12=D12,"PASS","CHECK")</x:f>
        <x:v>PASS</x:v>
      </x:c>
      <x:c r="F12" s="30" t="str">
        <x:v>Must be zero</x:v>
      </x:c>
    </x:row>
    <x:row r="13">
      <x:c r="A13" s="30" t="str">
        <x:v>V08</x:v>
      </x:c>
      <x:c r="B13" s="30" t="str">
        <x:v>Traffic scenario rows</x:v>
      </x:c>
      <x:c r="C13" s="33" t="n">
        <x:f>COUNTA('Traffic Scenarios'!A6:A21)</x:f>
        <x:v>16</x:v>
      </x:c>
      <x:c r="D13" s="33" t="n">
        <x:v>16</x:v>
      </x:c>
      <x:c r="E13" s="33" t="str">
        <x:f>IF(C13=D13,"PASS","CHECK")</x:f>
        <x:v>PASS</x:v>
      </x:c>
      <x:c r="F13" s="30" t="str">
        <x:v>Four scenarios x four road classes</x:v>
      </x:c>
    </x:row>
    <x:row r="14">
      <x:c r="A14" s="30" t="str">
        <x:v>V09</x:v>
      </x:c>
      <x:c r="B14" s="30" t="str">
        <x:v>Source registry count</x:v>
      </x:c>
      <x:c r="C14" s="33" t="n">
        <x:f>COUNTA('Source Registry'!A6:A20)</x:f>
        <x:v>15</x:v>
      </x:c>
      <x:c r="D14" s="33" t="n">
        <x:v>15</x:v>
      </x:c>
      <x:c r="E14" s="33" t="str">
        <x:f>IF(C14=D14,"PASS","CHECK")</x:f>
        <x:v>PASS</x:v>
      </x:c>
      <x:c r="F14" s="30" t="str">
        <x:v>Includes local, external and project assumptions</x:v>
      </x:c>
    </x:row>
    <x:row r="15">
      <x:c r="A15" s="30" t="str">
        <x:v>V10</x:v>
      </x:c>
      <x:c r="B15" s="30" t="str">
        <x:v>Road node placeholder rows</x:v>
      </x:c>
      <x:c r="C15" s="33" t="n">
        <x:v>1</x:v>
      </x:c>
      <x:c r="D15" s="33" t="n">
        <x:v>0</x:v>
      </x:c>
      <x:c r="E15" s="33" t="str">
        <x:v>PENDING</x:v>
      </x:c>
      <x:c r="F15" s="30" t="str">
        <x:v>Remove placeholder after OSM extraction</x:v>
      </x:c>
    </x:row>
    <x:row r="16">
      <x:c r="A16" s="31" t="str">
        <x:v>V11</x:v>
      </x:c>
      <x:c r="B16" s="31" t="str">
        <x:v>Road edge placeholder rows</x:v>
      </x:c>
      <x:c r="C16" s="34" t="n">
        <x:v>1</x:v>
      </x:c>
      <x:c r="D16" s="34" t="n">
        <x:v>0</x:v>
      </x:c>
      <x:c r="E16" s="34" t="str">
        <x:v>PENDING</x:v>
      </x:c>
      <x:c r="F16" s="31" t="str">
        <x:v>Remove placeholder after OSM extraction</x:v>
      </x:c>
    </x:row>
  </x:sheetData>
  <x:mergeCells>
    <x:mergeCell ref="A1:F1"/>
    <x:mergeCell ref="A2:F2"/>
  </x:mergeCells>
  <x:conditionalFormatting sqref="E6:E16">
    <x:cfRule type="containsText" dxfId="9" priority="1" operator="containsText" text="PASS"/>
    <x:cfRule type="containsText" dxfId="10" priority="2" operator="containsText" text="CHECK"/>
    <x:cfRule type="containsText" dxfId="11" priority="3" operator="containsText" text="PENDING"/>
    <x:cfRule type="containsText" dxfId="12" priority="4" operator="containsText" text="INFO"/>
  </x:conditionalFormatting>
  <x:pageMargins left="0.7" right="0.7" top="0.75" bottom="0.75" header="0.3" footer="0.3"/>
</x:worksheet>
</file>